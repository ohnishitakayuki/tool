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hnishi.takayuki\Documents\02 pythonサンプルプログラム\tool\src\test\test_data\data_cd_angle\"/>
    </mc:Choice>
  </mc:AlternateContent>
  <bookViews>
    <workbookView xWindow="5570" yWindow="6210" windowWidth="28830" windowHeight="6270" activeTab="1"/>
  </bookViews>
  <sheets>
    <sheet name="Macro" sheetId="3" r:id="rId1"/>
    <sheet name="Trend" sheetId="2" r:id="rId2"/>
    <sheet name="Data" sheetId="1" r:id="rId3"/>
    <sheet name="summary_for_customer" sheetId="4" state="hidden" r:id="rId4"/>
    <sheet name="raw_data" sheetId="5" state="hidden" r:id="rId5"/>
  </sheets>
  <calcPr calcId="162913"/>
</workbook>
</file>

<file path=xl/calcChain.xml><?xml version="1.0" encoding="utf-8"?>
<calcChain xmlns="http://schemas.openxmlformats.org/spreadsheetml/2006/main">
  <c r="I9" i="1" l="1"/>
  <c r="L3" i="1"/>
  <c r="I23" i="1"/>
  <c r="T2" i="1" l="1"/>
  <c r="I87" i="1"/>
  <c r="I55" i="1"/>
  <c r="H9" i="5" l="1"/>
  <c r="H8" i="5"/>
  <c r="O12" i="4"/>
  <c r="N12" i="4"/>
  <c r="M12" i="4"/>
  <c r="L12" i="4"/>
  <c r="K12" i="4"/>
  <c r="J12" i="4"/>
  <c r="I12" i="4"/>
  <c r="H12" i="4"/>
  <c r="G12" i="4"/>
  <c r="F12" i="4"/>
  <c r="E12" i="4"/>
  <c r="D12" i="4"/>
  <c r="C12" i="4"/>
  <c r="O11" i="4"/>
  <c r="N11" i="4"/>
  <c r="M11" i="4"/>
  <c r="L11" i="4"/>
  <c r="K11" i="4"/>
  <c r="J11" i="4"/>
  <c r="I11" i="4"/>
  <c r="H11" i="4"/>
  <c r="G11" i="4"/>
  <c r="F7" i="4" s="1"/>
  <c r="F11" i="4"/>
  <c r="E11" i="4"/>
  <c r="D11" i="4"/>
  <c r="C11" i="4"/>
  <c r="F5" i="4"/>
  <c r="C1" i="3"/>
  <c r="A1" i="3"/>
  <c r="I1" i="3"/>
  <c r="B1" i="3"/>
  <c r="G1" i="3"/>
  <c r="D1" i="3"/>
  <c r="H1" i="3"/>
  <c r="F1" i="3"/>
  <c r="E1" i="3"/>
  <c r="F6" i="4" l="1"/>
  <c r="K4" i="2"/>
  <c r="J4" i="2"/>
  <c r="I4" i="2"/>
  <c r="Q2" i="1" l="1"/>
  <c r="H16" i="1"/>
  <c r="H15" i="1"/>
  <c r="H14" i="1"/>
  <c r="W56" i="1" l="1"/>
  <c r="X56" i="1"/>
  <c r="Y56" i="1"/>
  <c r="Z56" i="1"/>
  <c r="AA56" i="1"/>
  <c r="AB56" i="1"/>
  <c r="AC56" i="1"/>
  <c r="AD56" i="1"/>
  <c r="AE56" i="1"/>
  <c r="AF56" i="1"/>
  <c r="AG56" i="1"/>
  <c r="AH56" i="1"/>
  <c r="W57" i="1"/>
  <c r="X57" i="1"/>
  <c r="Y57" i="1"/>
  <c r="Z57" i="1"/>
  <c r="AA57" i="1"/>
  <c r="AB57" i="1"/>
  <c r="AC57" i="1"/>
  <c r="AD57" i="1"/>
  <c r="AE57" i="1"/>
  <c r="AF57" i="1"/>
  <c r="AG57" i="1"/>
  <c r="AH57" i="1"/>
  <c r="W58" i="1"/>
  <c r="X58" i="1"/>
  <c r="Y58" i="1"/>
  <c r="Z58" i="1"/>
  <c r="AA58" i="1"/>
  <c r="AB58" i="1"/>
  <c r="AC58" i="1"/>
  <c r="AD58" i="1"/>
  <c r="AE58" i="1"/>
  <c r="AF58" i="1"/>
  <c r="AG58" i="1"/>
  <c r="AH58" i="1"/>
  <c r="W59" i="1"/>
  <c r="X59" i="1"/>
  <c r="Y59" i="1"/>
  <c r="Z59" i="1"/>
  <c r="AA59" i="1"/>
  <c r="AB59" i="1"/>
  <c r="AC59" i="1"/>
  <c r="AD59" i="1"/>
  <c r="AE59" i="1"/>
  <c r="AF59" i="1"/>
  <c r="AG59" i="1"/>
  <c r="AH59" i="1"/>
  <c r="W60" i="1"/>
  <c r="X60" i="1"/>
  <c r="Y60" i="1"/>
  <c r="Z60" i="1"/>
  <c r="AA60" i="1"/>
  <c r="AB60" i="1"/>
  <c r="AC60" i="1"/>
  <c r="AD60" i="1"/>
  <c r="AE60" i="1"/>
  <c r="AF60" i="1"/>
  <c r="AG60" i="1"/>
  <c r="AH60" i="1"/>
  <c r="W61" i="1"/>
  <c r="X61" i="1"/>
  <c r="Y61" i="1"/>
  <c r="Z61" i="1"/>
  <c r="AA61" i="1"/>
  <c r="AB61" i="1"/>
  <c r="AC61" i="1"/>
  <c r="AD61" i="1"/>
  <c r="AE61" i="1"/>
  <c r="AF61" i="1"/>
  <c r="AG61" i="1"/>
  <c r="AH61" i="1"/>
  <c r="W62" i="1"/>
  <c r="X62" i="1"/>
  <c r="Y62" i="1"/>
  <c r="Z62" i="1"/>
  <c r="AA62" i="1"/>
  <c r="AB62" i="1"/>
  <c r="AC62" i="1"/>
  <c r="AD62" i="1"/>
  <c r="AE62" i="1"/>
  <c r="AF62" i="1"/>
  <c r="AG62" i="1"/>
  <c r="AH62" i="1"/>
  <c r="W63" i="1"/>
  <c r="X63" i="1"/>
  <c r="Y63" i="1"/>
  <c r="Z63" i="1"/>
  <c r="AA63" i="1"/>
  <c r="AB63" i="1"/>
  <c r="AC63" i="1"/>
  <c r="AD63" i="1"/>
  <c r="AE63" i="1"/>
  <c r="AF63" i="1"/>
  <c r="AG63" i="1"/>
  <c r="AH63" i="1"/>
  <c r="W64" i="1"/>
  <c r="X64" i="1"/>
  <c r="Y64" i="1"/>
  <c r="Z64" i="1"/>
  <c r="AA64" i="1"/>
  <c r="AB64" i="1"/>
  <c r="AC64" i="1"/>
  <c r="AD64" i="1"/>
  <c r="AE64" i="1"/>
  <c r="AF64" i="1"/>
  <c r="AG64" i="1"/>
  <c r="AH64" i="1"/>
  <c r="W65" i="1"/>
  <c r="X65" i="1"/>
  <c r="Y65" i="1"/>
  <c r="Z65" i="1"/>
  <c r="AA65" i="1"/>
  <c r="AB65" i="1"/>
  <c r="AC65" i="1"/>
  <c r="AD65" i="1"/>
  <c r="AE65" i="1"/>
  <c r="AF65" i="1"/>
  <c r="AG65" i="1"/>
  <c r="AH65" i="1"/>
  <c r="W66" i="1"/>
  <c r="X66" i="1"/>
  <c r="Y66" i="1"/>
  <c r="Z66" i="1"/>
  <c r="AA66" i="1"/>
  <c r="AB66" i="1"/>
  <c r="AC66" i="1"/>
  <c r="AD66" i="1"/>
  <c r="AE66" i="1"/>
  <c r="AF66" i="1"/>
  <c r="AG66" i="1"/>
  <c r="AH66" i="1"/>
  <c r="W67" i="1"/>
  <c r="X67" i="1"/>
  <c r="Y67" i="1"/>
  <c r="Z67" i="1"/>
  <c r="AA67" i="1"/>
  <c r="AB67" i="1"/>
  <c r="AC67" i="1"/>
  <c r="AD67" i="1"/>
  <c r="AE67" i="1"/>
  <c r="AF67" i="1"/>
  <c r="AG67" i="1"/>
  <c r="AH67" i="1"/>
  <c r="W68" i="1"/>
  <c r="X68" i="1"/>
  <c r="Y68" i="1"/>
  <c r="Z68" i="1"/>
  <c r="AA68" i="1"/>
  <c r="AB68" i="1"/>
  <c r="AC68" i="1"/>
  <c r="AD68" i="1"/>
  <c r="AE68" i="1"/>
  <c r="AF68" i="1"/>
  <c r="AG68" i="1"/>
  <c r="AH68" i="1"/>
  <c r="W69" i="1"/>
  <c r="X69" i="1"/>
  <c r="Y69" i="1"/>
  <c r="Z69" i="1"/>
  <c r="AA69" i="1"/>
  <c r="AB69" i="1"/>
  <c r="AC69" i="1"/>
  <c r="AD69" i="1"/>
  <c r="AE69" i="1"/>
  <c r="AF69" i="1"/>
  <c r="AG69" i="1"/>
  <c r="AH69" i="1"/>
  <c r="W70" i="1"/>
  <c r="X70" i="1"/>
  <c r="Y70" i="1"/>
  <c r="Z70" i="1"/>
  <c r="AA70" i="1"/>
  <c r="AB70" i="1"/>
  <c r="AC70" i="1"/>
  <c r="AD70" i="1"/>
  <c r="AE70" i="1"/>
  <c r="AF70" i="1"/>
  <c r="AG70" i="1"/>
  <c r="AH70" i="1"/>
  <c r="W71" i="1"/>
  <c r="X71" i="1"/>
  <c r="Y71" i="1"/>
  <c r="Z71" i="1"/>
  <c r="AA71" i="1"/>
  <c r="AB71" i="1"/>
  <c r="AC71" i="1"/>
  <c r="AD71" i="1"/>
  <c r="AE71" i="1"/>
  <c r="AF71" i="1"/>
  <c r="AG71" i="1"/>
  <c r="AH71" i="1"/>
  <c r="W72" i="1"/>
  <c r="X72" i="1"/>
  <c r="Y72" i="1"/>
  <c r="Z72" i="1"/>
  <c r="AA72" i="1"/>
  <c r="AB72" i="1"/>
  <c r="AC72" i="1"/>
  <c r="AD72" i="1"/>
  <c r="AE72" i="1"/>
  <c r="AF72" i="1"/>
  <c r="AG72" i="1"/>
  <c r="AH72" i="1"/>
  <c r="W73" i="1"/>
  <c r="X73" i="1"/>
  <c r="Y73" i="1"/>
  <c r="Z73" i="1"/>
  <c r="AA73" i="1"/>
  <c r="AB73" i="1"/>
  <c r="AC73" i="1"/>
  <c r="AD73" i="1"/>
  <c r="AE73" i="1"/>
  <c r="AF73" i="1"/>
  <c r="AG73" i="1"/>
  <c r="AH73" i="1"/>
  <c r="W74" i="1"/>
  <c r="X74" i="1"/>
  <c r="Y74" i="1"/>
  <c r="Z74" i="1"/>
  <c r="AA74" i="1"/>
  <c r="AB74" i="1"/>
  <c r="AC74" i="1"/>
  <c r="AD74" i="1"/>
  <c r="AE74" i="1"/>
  <c r="AF74" i="1"/>
  <c r="AG74" i="1"/>
  <c r="AH74" i="1"/>
  <c r="W75" i="1"/>
  <c r="X75" i="1"/>
  <c r="Y75" i="1"/>
  <c r="Z75" i="1"/>
  <c r="AA75" i="1"/>
  <c r="AB75" i="1"/>
  <c r="AC75" i="1"/>
  <c r="AD75" i="1"/>
  <c r="AE75" i="1"/>
  <c r="AF75" i="1"/>
  <c r="AG75" i="1"/>
  <c r="AH75" i="1"/>
  <c r="W76" i="1"/>
  <c r="X76" i="1"/>
  <c r="Y76" i="1"/>
  <c r="Z76" i="1"/>
  <c r="AA76" i="1"/>
  <c r="AB76" i="1"/>
  <c r="AC76" i="1"/>
  <c r="AD76" i="1"/>
  <c r="AE76" i="1"/>
  <c r="AF76" i="1"/>
  <c r="AG76" i="1"/>
  <c r="AH76" i="1"/>
  <c r="W77" i="1"/>
  <c r="X77" i="1"/>
  <c r="Y77" i="1"/>
  <c r="Z77" i="1"/>
  <c r="AA77" i="1"/>
  <c r="AB77" i="1"/>
  <c r="AC77" i="1"/>
  <c r="AD77" i="1"/>
  <c r="AE77" i="1"/>
  <c r="AF77" i="1"/>
  <c r="AG77" i="1"/>
  <c r="AH77" i="1"/>
  <c r="W78" i="1"/>
  <c r="X78" i="1"/>
  <c r="Y78" i="1"/>
  <c r="Z78" i="1"/>
  <c r="AA78" i="1"/>
  <c r="AB78" i="1"/>
  <c r="AC78" i="1"/>
  <c r="AD78" i="1"/>
  <c r="AE78" i="1"/>
  <c r="AF78" i="1"/>
  <c r="AG78" i="1"/>
  <c r="AH78" i="1"/>
  <c r="W79" i="1"/>
  <c r="X79" i="1"/>
  <c r="Y79" i="1"/>
  <c r="Z79" i="1"/>
  <c r="AA79" i="1"/>
  <c r="AB79" i="1"/>
  <c r="AC79" i="1"/>
  <c r="AD79" i="1"/>
  <c r="AE79" i="1"/>
  <c r="AF79" i="1"/>
  <c r="AG79" i="1"/>
  <c r="AH79" i="1"/>
  <c r="X55" i="1"/>
  <c r="Y55" i="1"/>
  <c r="Z55" i="1"/>
  <c r="AA55" i="1"/>
  <c r="AB55" i="1"/>
  <c r="AC55" i="1"/>
  <c r="AD55" i="1"/>
  <c r="AE55" i="1"/>
  <c r="AF55" i="1"/>
  <c r="AG55" i="1"/>
  <c r="AH55" i="1"/>
  <c r="W55" i="1"/>
  <c r="V54" i="1"/>
  <c r="X23" i="1"/>
  <c r="Y23" i="1"/>
  <c r="Z23" i="1"/>
  <c r="AA23" i="1"/>
  <c r="AB23" i="1"/>
  <c r="AC23" i="1"/>
  <c r="AD23" i="1"/>
  <c r="AE23" i="1"/>
  <c r="AF23" i="1"/>
  <c r="AG23" i="1"/>
  <c r="AH23" i="1"/>
  <c r="X24" i="1"/>
  <c r="Y24" i="1"/>
  <c r="Z24" i="1"/>
  <c r="AA24" i="1"/>
  <c r="AB24" i="1"/>
  <c r="AC24" i="1"/>
  <c r="AD24" i="1"/>
  <c r="AE24" i="1"/>
  <c r="AF24" i="1"/>
  <c r="AG24" i="1"/>
  <c r="AH24" i="1"/>
  <c r="X25" i="1"/>
  <c r="Y25" i="1"/>
  <c r="Z25" i="1"/>
  <c r="AA25" i="1"/>
  <c r="AB25" i="1"/>
  <c r="AC25" i="1"/>
  <c r="AD25" i="1"/>
  <c r="AE25" i="1"/>
  <c r="AF25" i="1"/>
  <c r="AG25" i="1"/>
  <c r="AH25" i="1"/>
  <c r="X26" i="1"/>
  <c r="Y26" i="1"/>
  <c r="Z26" i="1"/>
  <c r="AA26" i="1"/>
  <c r="AB26" i="1"/>
  <c r="AC26" i="1"/>
  <c r="AD26" i="1"/>
  <c r="AE26" i="1"/>
  <c r="AF26" i="1"/>
  <c r="AG26" i="1"/>
  <c r="AH26" i="1"/>
  <c r="X27" i="1"/>
  <c r="Y27" i="1"/>
  <c r="Z27" i="1"/>
  <c r="AA27" i="1"/>
  <c r="AB27" i="1"/>
  <c r="AC27" i="1"/>
  <c r="AD27" i="1"/>
  <c r="AE27" i="1"/>
  <c r="AF27" i="1"/>
  <c r="AG27" i="1"/>
  <c r="AH27" i="1"/>
  <c r="X28" i="1"/>
  <c r="Y28" i="1"/>
  <c r="Z28" i="1"/>
  <c r="AA28" i="1"/>
  <c r="AB28" i="1"/>
  <c r="AC28" i="1"/>
  <c r="AD28" i="1"/>
  <c r="AE28" i="1"/>
  <c r="AF28" i="1"/>
  <c r="AG28" i="1"/>
  <c r="AH28" i="1"/>
  <c r="X29" i="1"/>
  <c r="Y29" i="1"/>
  <c r="Z29" i="1"/>
  <c r="AA29" i="1"/>
  <c r="AB29" i="1"/>
  <c r="AC29" i="1"/>
  <c r="AD29" i="1"/>
  <c r="AE29" i="1"/>
  <c r="AF29" i="1"/>
  <c r="AG29" i="1"/>
  <c r="AH29" i="1"/>
  <c r="X30" i="1"/>
  <c r="Y30" i="1"/>
  <c r="Z30" i="1"/>
  <c r="AA30" i="1"/>
  <c r="AB30" i="1"/>
  <c r="AC30" i="1"/>
  <c r="AD30" i="1"/>
  <c r="AE30" i="1"/>
  <c r="AF30" i="1"/>
  <c r="AG30" i="1"/>
  <c r="AH30" i="1"/>
  <c r="X31" i="1"/>
  <c r="Y31" i="1"/>
  <c r="Z31" i="1"/>
  <c r="AA31" i="1"/>
  <c r="AB31" i="1"/>
  <c r="AC31" i="1"/>
  <c r="AD31" i="1"/>
  <c r="AE31" i="1"/>
  <c r="AF31" i="1"/>
  <c r="AG31" i="1"/>
  <c r="AH31" i="1"/>
  <c r="X32" i="1"/>
  <c r="Y32" i="1"/>
  <c r="Z32" i="1"/>
  <c r="AA32" i="1"/>
  <c r="AB32" i="1"/>
  <c r="AC32" i="1"/>
  <c r="AD32" i="1"/>
  <c r="AE32" i="1"/>
  <c r="AF32" i="1"/>
  <c r="AG32" i="1"/>
  <c r="AH32" i="1"/>
  <c r="X33" i="1"/>
  <c r="Y33" i="1"/>
  <c r="Z33" i="1"/>
  <c r="AA33" i="1"/>
  <c r="AB33" i="1"/>
  <c r="AC33" i="1"/>
  <c r="AD33" i="1"/>
  <c r="AE33" i="1"/>
  <c r="AF33" i="1"/>
  <c r="AG33" i="1"/>
  <c r="AH33" i="1"/>
  <c r="X34" i="1"/>
  <c r="Y34" i="1"/>
  <c r="Z34" i="1"/>
  <c r="AA34" i="1"/>
  <c r="AB34" i="1"/>
  <c r="AC34" i="1"/>
  <c r="AD34" i="1"/>
  <c r="AE34" i="1"/>
  <c r="AF34" i="1"/>
  <c r="AG34" i="1"/>
  <c r="AH34" i="1"/>
  <c r="X35" i="1"/>
  <c r="Y35" i="1"/>
  <c r="Z35" i="1"/>
  <c r="AA35" i="1"/>
  <c r="AB35" i="1"/>
  <c r="AC35" i="1"/>
  <c r="AD35" i="1"/>
  <c r="AE35" i="1"/>
  <c r="AF35" i="1"/>
  <c r="AG35" i="1"/>
  <c r="AH35" i="1"/>
  <c r="X36" i="1"/>
  <c r="Y36" i="1"/>
  <c r="Z36" i="1"/>
  <c r="AA36" i="1"/>
  <c r="AB36" i="1"/>
  <c r="AC36" i="1"/>
  <c r="AD36" i="1"/>
  <c r="AE36" i="1"/>
  <c r="AF36" i="1"/>
  <c r="AG36" i="1"/>
  <c r="AH36" i="1"/>
  <c r="X37" i="1"/>
  <c r="Y37" i="1"/>
  <c r="Z37" i="1"/>
  <c r="AA37" i="1"/>
  <c r="AB37" i="1"/>
  <c r="AC37" i="1"/>
  <c r="AD37" i="1"/>
  <c r="AE37" i="1"/>
  <c r="AF37" i="1"/>
  <c r="AG37" i="1"/>
  <c r="AH37" i="1"/>
  <c r="X38" i="1"/>
  <c r="Y38" i="1"/>
  <c r="Z38" i="1"/>
  <c r="AA38" i="1"/>
  <c r="AB38" i="1"/>
  <c r="AC38" i="1"/>
  <c r="AD38" i="1"/>
  <c r="AE38" i="1"/>
  <c r="AF38" i="1"/>
  <c r="AG38" i="1"/>
  <c r="AH38" i="1"/>
  <c r="X39" i="1"/>
  <c r="Y39" i="1"/>
  <c r="Z39" i="1"/>
  <c r="AA39" i="1"/>
  <c r="AB39" i="1"/>
  <c r="AC39" i="1"/>
  <c r="AD39" i="1"/>
  <c r="AE39" i="1"/>
  <c r="AF39" i="1"/>
  <c r="AG39" i="1"/>
  <c r="AH39" i="1"/>
  <c r="X40" i="1"/>
  <c r="Y40" i="1"/>
  <c r="Z40" i="1"/>
  <c r="AA40" i="1"/>
  <c r="AB40" i="1"/>
  <c r="AC40" i="1"/>
  <c r="AD40" i="1"/>
  <c r="AE40" i="1"/>
  <c r="AF40" i="1"/>
  <c r="AG40" i="1"/>
  <c r="AH40" i="1"/>
  <c r="X41" i="1"/>
  <c r="Y41" i="1"/>
  <c r="Z41" i="1"/>
  <c r="AA41" i="1"/>
  <c r="AB41" i="1"/>
  <c r="AC41" i="1"/>
  <c r="AD41" i="1"/>
  <c r="AE41" i="1"/>
  <c r="AF41" i="1"/>
  <c r="AG41" i="1"/>
  <c r="AH41" i="1"/>
  <c r="X42" i="1"/>
  <c r="Y42" i="1"/>
  <c r="Z42" i="1"/>
  <c r="AA42" i="1"/>
  <c r="AB42" i="1"/>
  <c r="AC42" i="1"/>
  <c r="AD42" i="1"/>
  <c r="AE42" i="1"/>
  <c r="AF42" i="1"/>
  <c r="AG42" i="1"/>
  <c r="AH42" i="1"/>
  <c r="X43" i="1"/>
  <c r="Y43" i="1"/>
  <c r="Z43" i="1"/>
  <c r="AA43" i="1"/>
  <c r="AB43" i="1"/>
  <c r="AC43" i="1"/>
  <c r="AD43" i="1"/>
  <c r="AE43" i="1"/>
  <c r="AF43" i="1"/>
  <c r="AG43" i="1"/>
  <c r="AH43" i="1"/>
  <c r="X44" i="1"/>
  <c r="Y44" i="1"/>
  <c r="Z44" i="1"/>
  <c r="AA44" i="1"/>
  <c r="AB44" i="1"/>
  <c r="AC44" i="1"/>
  <c r="AD44" i="1"/>
  <c r="AE44" i="1"/>
  <c r="AF44" i="1"/>
  <c r="AG44" i="1"/>
  <c r="AH44" i="1"/>
  <c r="X45" i="1"/>
  <c r="Y45" i="1"/>
  <c r="Z45" i="1"/>
  <c r="AA45" i="1"/>
  <c r="AB45" i="1"/>
  <c r="AC45" i="1"/>
  <c r="AD45" i="1"/>
  <c r="AE45" i="1"/>
  <c r="AF45" i="1"/>
  <c r="AG45" i="1"/>
  <c r="AH45" i="1"/>
  <c r="X46" i="1"/>
  <c r="Y46" i="1"/>
  <c r="Z46" i="1"/>
  <c r="AA46" i="1"/>
  <c r="AB46" i="1"/>
  <c r="AC46" i="1"/>
  <c r="AD46" i="1"/>
  <c r="AE46" i="1"/>
  <c r="AF46" i="1"/>
  <c r="AG46" i="1"/>
  <c r="AH46" i="1"/>
  <c r="X47" i="1"/>
  <c r="Y47" i="1"/>
  <c r="Z47" i="1"/>
  <c r="AA47" i="1"/>
  <c r="AB47" i="1"/>
  <c r="AC47" i="1"/>
  <c r="AD47" i="1"/>
  <c r="AE47" i="1"/>
  <c r="AF47" i="1"/>
  <c r="AG47" i="1"/>
  <c r="AH47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23" i="1"/>
  <c r="V22" i="1"/>
  <c r="I88" i="1"/>
  <c r="J88" i="1"/>
  <c r="K88" i="1"/>
  <c r="L88" i="1"/>
  <c r="M88" i="1"/>
  <c r="N88" i="1"/>
  <c r="O88" i="1"/>
  <c r="P88" i="1"/>
  <c r="Q88" i="1"/>
  <c r="R88" i="1"/>
  <c r="S88" i="1"/>
  <c r="T88" i="1"/>
  <c r="I89" i="1"/>
  <c r="J89" i="1"/>
  <c r="K89" i="1"/>
  <c r="L89" i="1"/>
  <c r="M89" i="1"/>
  <c r="N89" i="1"/>
  <c r="O89" i="1"/>
  <c r="P89" i="1"/>
  <c r="Q89" i="1"/>
  <c r="R89" i="1"/>
  <c r="S89" i="1"/>
  <c r="T89" i="1"/>
  <c r="I90" i="1"/>
  <c r="J90" i="1"/>
  <c r="K90" i="1"/>
  <c r="L90" i="1"/>
  <c r="M90" i="1"/>
  <c r="N90" i="1"/>
  <c r="O90" i="1"/>
  <c r="P90" i="1"/>
  <c r="Q90" i="1"/>
  <c r="R90" i="1"/>
  <c r="S90" i="1"/>
  <c r="T90" i="1"/>
  <c r="I91" i="1"/>
  <c r="J91" i="1"/>
  <c r="K91" i="1"/>
  <c r="L91" i="1"/>
  <c r="M91" i="1"/>
  <c r="N91" i="1"/>
  <c r="O91" i="1"/>
  <c r="P91" i="1"/>
  <c r="Q91" i="1"/>
  <c r="R91" i="1"/>
  <c r="S91" i="1"/>
  <c r="T91" i="1"/>
  <c r="I92" i="1"/>
  <c r="J92" i="1"/>
  <c r="K92" i="1"/>
  <c r="L92" i="1"/>
  <c r="M92" i="1"/>
  <c r="N92" i="1"/>
  <c r="O92" i="1"/>
  <c r="P92" i="1"/>
  <c r="Q92" i="1"/>
  <c r="R92" i="1"/>
  <c r="S92" i="1"/>
  <c r="T92" i="1"/>
  <c r="I93" i="1"/>
  <c r="J93" i="1"/>
  <c r="K93" i="1"/>
  <c r="L93" i="1"/>
  <c r="M93" i="1"/>
  <c r="N93" i="1"/>
  <c r="O93" i="1"/>
  <c r="P93" i="1"/>
  <c r="Q93" i="1"/>
  <c r="R93" i="1"/>
  <c r="S93" i="1"/>
  <c r="T93" i="1"/>
  <c r="I94" i="1"/>
  <c r="J94" i="1"/>
  <c r="K94" i="1"/>
  <c r="L94" i="1"/>
  <c r="M94" i="1"/>
  <c r="N94" i="1"/>
  <c r="O94" i="1"/>
  <c r="P94" i="1"/>
  <c r="Q94" i="1"/>
  <c r="R94" i="1"/>
  <c r="S94" i="1"/>
  <c r="T94" i="1"/>
  <c r="I95" i="1"/>
  <c r="J95" i="1"/>
  <c r="K95" i="1"/>
  <c r="L95" i="1"/>
  <c r="M95" i="1"/>
  <c r="N95" i="1"/>
  <c r="O95" i="1"/>
  <c r="P95" i="1"/>
  <c r="Q95" i="1"/>
  <c r="R95" i="1"/>
  <c r="S95" i="1"/>
  <c r="T95" i="1"/>
  <c r="I96" i="1"/>
  <c r="J96" i="1"/>
  <c r="K96" i="1"/>
  <c r="L96" i="1"/>
  <c r="M96" i="1"/>
  <c r="N96" i="1"/>
  <c r="O96" i="1"/>
  <c r="P96" i="1"/>
  <c r="Q96" i="1"/>
  <c r="R96" i="1"/>
  <c r="S96" i="1"/>
  <c r="T96" i="1"/>
  <c r="I97" i="1"/>
  <c r="J97" i="1"/>
  <c r="K97" i="1"/>
  <c r="L97" i="1"/>
  <c r="M97" i="1"/>
  <c r="N97" i="1"/>
  <c r="O97" i="1"/>
  <c r="P97" i="1"/>
  <c r="Q97" i="1"/>
  <c r="R97" i="1"/>
  <c r="S97" i="1"/>
  <c r="T97" i="1"/>
  <c r="I98" i="1"/>
  <c r="J98" i="1"/>
  <c r="K98" i="1"/>
  <c r="L98" i="1"/>
  <c r="M98" i="1"/>
  <c r="N98" i="1"/>
  <c r="O98" i="1"/>
  <c r="P98" i="1"/>
  <c r="Q98" i="1"/>
  <c r="R98" i="1"/>
  <c r="S98" i="1"/>
  <c r="T98" i="1"/>
  <c r="I99" i="1"/>
  <c r="J99" i="1"/>
  <c r="K99" i="1"/>
  <c r="L99" i="1"/>
  <c r="M99" i="1"/>
  <c r="N99" i="1"/>
  <c r="O99" i="1"/>
  <c r="P99" i="1"/>
  <c r="Q99" i="1"/>
  <c r="R99" i="1"/>
  <c r="S99" i="1"/>
  <c r="T99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J87" i="1"/>
  <c r="K87" i="1"/>
  <c r="L87" i="1"/>
  <c r="M87" i="1"/>
  <c r="N87" i="1"/>
  <c r="O87" i="1"/>
  <c r="P87" i="1"/>
  <c r="Q87" i="1"/>
  <c r="R87" i="1"/>
  <c r="S87" i="1"/>
  <c r="T87" i="1"/>
  <c r="H86" i="1"/>
  <c r="H54" i="1"/>
  <c r="H22" i="1"/>
  <c r="J55" i="1"/>
  <c r="K55" i="1"/>
  <c r="L55" i="1"/>
  <c r="M55" i="1"/>
  <c r="N55" i="1"/>
  <c r="O55" i="1"/>
  <c r="P55" i="1"/>
  <c r="Q55" i="1"/>
  <c r="R55" i="1"/>
  <c r="S55" i="1"/>
  <c r="T55" i="1"/>
  <c r="J56" i="1"/>
  <c r="K56" i="1"/>
  <c r="L56" i="1"/>
  <c r="M56" i="1"/>
  <c r="N56" i="1"/>
  <c r="O56" i="1"/>
  <c r="P56" i="1"/>
  <c r="Q56" i="1"/>
  <c r="R56" i="1"/>
  <c r="S56" i="1"/>
  <c r="T56" i="1"/>
  <c r="J57" i="1"/>
  <c r="K57" i="1"/>
  <c r="L57" i="1"/>
  <c r="M57" i="1"/>
  <c r="N57" i="1"/>
  <c r="O57" i="1"/>
  <c r="P57" i="1"/>
  <c r="Q57" i="1"/>
  <c r="R57" i="1"/>
  <c r="S57" i="1"/>
  <c r="T57" i="1"/>
  <c r="J58" i="1"/>
  <c r="K58" i="1"/>
  <c r="L58" i="1"/>
  <c r="M58" i="1"/>
  <c r="N58" i="1"/>
  <c r="O58" i="1"/>
  <c r="P58" i="1"/>
  <c r="Q58" i="1"/>
  <c r="R58" i="1"/>
  <c r="S58" i="1"/>
  <c r="T58" i="1"/>
  <c r="J59" i="1"/>
  <c r="K59" i="1"/>
  <c r="L59" i="1"/>
  <c r="M59" i="1"/>
  <c r="N59" i="1"/>
  <c r="O59" i="1"/>
  <c r="P59" i="1"/>
  <c r="Q59" i="1"/>
  <c r="R59" i="1"/>
  <c r="S59" i="1"/>
  <c r="T59" i="1"/>
  <c r="J60" i="1"/>
  <c r="K60" i="1"/>
  <c r="L60" i="1"/>
  <c r="M60" i="1"/>
  <c r="N60" i="1"/>
  <c r="O60" i="1"/>
  <c r="P60" i="1"/>
  <c r="Q60" i="1"/>
  <c r="R60" i="1"/>
  <c r="S60" i="1"/>
  <c r="T60" i="1"/>
  <c r="J61" i="1"/>
  <c r="K61" i="1"/>
  <c r="L61" i="1"/>
  <c r="M61" i="1"/>
  <c r="N61" i="1"/>
  <c r="O61" i="1"/>
  <c r="P61" i="1"/>
  <c r="Q61" i="1"/>
  <c r="R61" i="1"/>
  <c r="S61" i="1"/>
  <c r="T61" i="1"/>
  <c r="J62" i="1"/>
  <c r="K62" i="1"/>
  <c r="L62" i="1"/>
  <c r="M62" i="1"/>
  <c r="N62" i="1"/>
  <c r="O62" i="1"/>
  <c r="P62" i="1"/>
  <c r="Q62" i="1"/>
  <c r="R62" i="1"/>
  <c r="S62" i="1"/>
  <c r="T62" i="1"/>
  <c r="J63" i="1"/>
  <c r="K63" i="1"/>
  <c r="L63" i="1"/>
  <c r="M63" i="1"/>
  <c r="N63" i="1"/>
  <c r="O63" i="1"/>
  <c r="P63" i="1"/>
  <c r="Q63" i="1"/>
  <c r="R63" i="1"/>
  <c r="S63" i="1"/>
  <c r="T63" i="1"/>
  <c r="J64" i="1"/>
  <c r="K64" i="1"/>
  <c r="L64" i="1"/>
  <c r="M64" i="1"/>
  <c r="N64" i="1"/>
  <c r="O64" i="1"/>
  <c r="P64" i="1"/>
  <c r="Q64" i="1"/>
  <c r="R64" i="1"/>
  <c r="S64" i="1"/>
  <c r="T64" i="1"/>
  <c r="J65" i="1"/>
  <c r="K65" i="1"/>
  <c r="L65" i="1"/>
  <c r="M65" i="1"/>
  <c r="N65" i="1"/>
  <c r="O65" i="1"/>
  <c r="P65" i="1"/>
  <c r="Q65" i="1"/>
  <c r="R65" i="1"/>
  <c r="S65" i="1"/>
  <c r="T65" i="1"/>
  <c r="J66" i="1"/>
  <c r="K66" i="1"/>
  <c r="L66" i="1"/>
  <c r="M66" i="1"/>
  <c r="N66" i="1"/>
  <c r="O66" i="1"/>
  <c r="P66" i="1"/>
  <c r="Q66" i="1"/>
  <c r="R66" i="1"/>
  <c r="S66" i="1"/>
  <c r="T66" i="1"/>
  <c r="J67" i="1"/>
  <c r="K67" i="1"/>
  <c r="L67" i="1"/>
  <c r="M67" i="1"/>
  <c r="N67" i="1"/>
  <c r="O67" i="1"/>
  <c r="P67" i="1"/>
  <c r="Q67" i="1"/>
  <c r="R67" i="1"/>
  <c r="S67" i="1"/>
  <c r="T67" i="1"/>
  <c r="J68" i="1"/>
  <c r="K68" i="1"/>
  <c r="L68" i="1"/>
  <c r="M68" i="1"/>
  <c r="N68" i="1"/>
  <c r="O68" i="1"/>
  <c r="P68" i="1"/>
  <c r="Q68" i="1"/>
  <c r="R68" i="1"/>
  <c r="S68" i="1"/>
  <c r="T68" i="1"/>
  <c r="J69" i="1"/>
  <c r="K69" i="1"/>
  <c r="L69" i="1"/>
  <c r="M69" i="1"/>
  <c r="N69" i="1"/>
  <c r="O69" i="1"/>
  <c r="P69" i="1"/>
  <c r="Q69" i="1"/>
  <c r="R69" i="1"/>
  <c r="S69" i="1"/>
  <c r="T69" i="1"/>
  <c r="J70" i="1"/>
  <c r="K70" i="1"/>
  <c r="L70" i="1"/>
  <c r="M70" i="1"/>
  <c r="N70" i="1"/>
  <c r="O70" i="1"/>
  <c r="P70" i="1"/>
  <c r="Q70" i="1"/>
  <c r="R70" i="1"/>
  <c r="S70" i="1"/>
  <c r="T70" i="1"/>
  <c r="J71" i="1"/>
  <c r="K71" i="1"/>
  <c r="L71" i="1"/>
  <c r="M71" i="1"/>
  <c r="N71" i="1"/>
  <c r="O71" i="1"/>
  <c r="P71" i="1"/>
  <c r="Q71" i="1"/>
  <c r="R71" i="1"/>
  <c r="S71" i="1"/>
  <c r="T71" i="1"/>
  <c r="J72" i="1"/>
  <c r="K72" i="1"/>
  <c r="L72" i="1"/>
  <c r="M72" i="1"/>
  <c r="N72" i="1"/>
  <c r="O72" i="1"/>
  <c r="P72" i="1"/>
  <c r="Q72" i="1"/>
  <c r="R72" i="1"/>
  <c r="S72" i="1"/>
  <c r="T72" i="1"/>
  <c r="J73" i="1"/>
  <c r="K73" i="1"/>
  <c r="L73" i="1"/>
  <c r="M73" i="1"/>
  <c r="N73" i="1"/>
  <c r="O73" i="1"/>
  <c r="P73" i="1"/>
  <c r="Q73" i="1"/>
  <c r="R73" i="1"/>
  <c r="S73" i="1"/>
  <c r="T73" i="1"/>
  <c r="J74" i="1"/>
  <c r="K74" i="1"/>
  <c r="L74" i="1"/>
  <c r="M74" i="1"/>
  <c r="N74" i="1"/>
  <c r="O74" i="1"/>
  <c r="P74" i="1"/>
  <c r="Q74" i="1"/>
  <c r="R74" i="1"/>
  <c r="S74" i="1"/>
  <c r="T74" i="1"/>
  <c r="J75" i="1"/>
  <c r="K75" i="1"/>
  <c r="L75" i="1"/>
  <c r="M75" i="1"/>
  <c r="N75" i="1"/>
  <c r="O75" i="1"/>
  <c r="P75" i="1"/>
  <c r="Q75" i="1"/>
  <c r="R75" i="1"/>
  <c r="S75" i="1"/>
  <c r="T75" i="1"/>
  <c r="J76" i="1"/>
  <c r="K76" i="1"/>
  <c r="L76" i="1"/>
  <c r="M76" i="1"/>
  <c r="N76" i="1"/>
  <c r="O76" i="1"/>
  <c r="P76" i="1"/>
  <c r="Q76" i="1"/>
  <c r="R76" i="1"/>
  <c r="S76" i="1"/>
  <c r="T76" i="1"/>
  <c r="J77" i="1"/>
  <c r="K77" i="1"/>
  <c r="L77" i="1"/>
  <c r="M77" i="1"/>
  <c r="N77" i="1"/>
  <c r="O77" i="1"/>
  <c r="P77" i="1"/>
  <c r="Q77" i="1"/>
  <c r="R77" i="1"/>
  <c r="S77" i="1"/>
  <c r="T77" i="1"/>
  <c r="J78" i="1"/>
  <c r="K78" i="1"/>
  <c r="L78" i="1"/>
  <c r="M78" i="1"/>
  <c r="N78" i="1"/>
  <c r="O78" i="1"/>
  <c r="P78" i="1"/>
  <c r="Q78" i="1"/>
  <c r="R78" i="1"/>
  <c r="S78" i="1"/>
  <c r="T78" i="1"/>
  <c r="J79" i="1"/>
  <c r="K79" i="1"/>
  <c r="L79" i="1"/>
  <c r="M79" i="1"/>
  <c r="N79" i="1"/>
  <c r="O79" i="1"/>
  <c r="P79" i="1"/>
  <c r="Q79" i="1"/>
  <c r="R79" i="1"/>
  <c r="S79" i="1"/>
  <c r="T79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J23" i="1"/>
  <c r="K23" i="1"/>
  <c r="L23" i="1"/>
  <c r="M23" i="1"/>
  <c r="N23" i="1"/>
  <c r="O23" i="1"/>
  <c r="P23" i="1"/>
  <c r="Q23" i="1"/>
  <c r="R23" i="1"/>
  <c r="S23" i="1"/>
  <c r="T23" i="1"/>
  <c r="J24" i="1"/>
  <c r="K24" i="1"/>
  <c r="L24" i="1"/>
  <c r="M24" i="1"/>
  <c r="N24" i="1"/>
  <c r="O24" i="1"/>
  <c r="P24" i="1"/>
  <c r="Q24" i="1"/>
  <c r="R24" i="1"/>
  <c r="S24" i="1"/>
  <c r="T24" i="1"/>
  <c r="J25" i="1"/>
  <c r="K25" i="1"/>
  <c r="L25" i="1"/>
  <c r="M25" i="1"/>
  <c r="N25" i="1"/>
  <c r="O25" i="1"/>
  <c r="P25" i="1"/>
  <c r="Q25" i="1"/>
  <c r="R25" i="1"/>
  <c r="S25" i="1"/>
  <c r="T25" i="1"/>
  <c r="J26" i="1"/>
  <c r="K26" i="1"/>
  <c r="L26" i="1"/>
  <c r="M26" i="1"/>
  <c r="N26" i="1"/>
  <c r="O26" i="1"/>
  <c r="P26" i="1"/>
  <c r="Q26" i="1"/>
  <c r="R26" i="1"/>
  <c r="S26" i="1"/>
  <c r="T26" i="1"/>
  <c r="J27" i="1"/>
  <c r="K27" i="1"/>
  <c r="L27" i="1"/>
  <c r="M27" i="1"/>
  <c r="N27" i="1"/>
  <c r="O27" i="1"/>
  <c r="P27" i="1"/>
  <c r="Q27" i="1"/>
  <c r="R27" i="1"/>
  <c r="S27" i="1"/>
  <c r="T27" i="1"/>
  <c r="J28" i="1"/>
  <c r="K28" i="1"/>
  <c r="L28" i="1"/>
  <c r="M28" i="1"/>
  <c r="N28" i="1"/>
  <c r="O28" i="1"/>
  <c r="P28" i="1"/>
  <c r="Q28" i="1"/>
  <c r="R28" i="1"/>
  <c r="S28" i="1"/>
  <c r="T28" i="1"/>
  <c r="J29" i="1"/>
  <c r="K29" i="1"/>
  <c r="L29" i="1"/>
  <c r="M29" i="1"/>
  <c r="N29" i="1"/>
  <c r="O29" i="1"/>
  <c r="P29" i="1"/>
  <c r="Q29" i="1"/>
  <c r="R29" i="1"/>
  <c r="S29" i="1"/>
  <c r="T29" i="1"/>
  <c r="J30" i="1"/>
  <c r="K30" i="1"/>
  <c r="L30" i="1"/>
  <c r="M30" i="1"/>
  <c r="N30" i="1"/>
  <c r="O30" i="1"/>
  <c r="P30" i="1"/>
  <c r="Q30" i="1"/>
  <c r="R30" i="1"/>
  <c r="S30" i="1"/>
  <c r="T30" i="1"/>
  <c r="J31" i="1"/>
  <c r="K31" i="1"/>
  <c r="L31" i="1"/>
  <c r="M31" i="1"/>
  <c r="N31" i="1"/>
  <c r="O31" i="1"/>
  <c r="P31" i="1"/>
  <c r="Q31" i="1"/>
  <c r="R31" i="1"/>
  <c r="S31" i="1"/>
  <c r="T31" i="1"/>
  <c r="J32" i="1"/>
  <c r="K32" i="1"/>
  <c r="L32" i="1"/>
  <c r="M32" i="1"/>
  <c r="N32" i="1"/>
  <c r="O32" i="1"/>
  <c r="P32" i="1"/>
  <c r="Q32" i="1"/>
  <c r="R32" i="1"/>
  <c r="S32" i="1"/>
  <c r="T32" i="1"/>
  <c r="J33" i="1"/>
  <c r="K33" i="1"/>
  <c r="L33" i="1"/>
  <c r="M33" i="1"/>
  <c r="N33" i="1"/>
  <c r="O33" i="1"/>
  <c r="P33" i="1"/>
  <c r="Q33" i="1"/>
  <c r="R33" i="1"/>
  <c r="S33" i="1"/>
  <c r="T33" i="1"/>
  <c r="J34" i="1"/>
  <c r="K34" i="1"/>
  <c r="L34" i="1"/>
  <c r="M34" i="1"/>
  <c r="N34" i="1"/>
  <c r="O34" i="1"/>
  <c r="P34" i="1"/>
  <c r="Q34" i="1"/>
  <c r="R34" i="1"/>
  <c r="S34" i="1"/>
  <c r="T34" i="1"/>
  <c r="J35" i="1"/>
  <c r="K35" i="1"/>
  <c r="L35" i="1"/>
  <c r="M35" i="1"/>
  <c r="N35" i="1"/>
  <c r="O35" i="1"/>
  <c r="P35" i="1"/>
  <c r="Q35" i="1"/>
  <c r="R35" i="1"/>
  <c r="S35" i="1"/>
  <c r="T35" i="1"/>
  <c r="J36" i="1"/>
  <c r="K36" i="1"/>
  <c r="L36" i="1"/>
  <c r="M36" i="1"/>
  <c r="N36" i="1"/>
  <c r="O36" i="1"/>
  <c r="P36" i="1"/>
  <c r="Q36" i="1"/>
  <c r="R36" i="1"/>
  <c r="S36" i="1"/>
  <c r="T36" i="1"/>
  <c r="J37" i="1"/>
  <c r="K37" i="1"/>
  <c r="L37" i="1"/>
  <c r="M37" i="1"/>
  <c r="N37" i="1"/>
  <c r="O37" i="1"/>
  <c r="P37" i="1"/>
  <c r="Q37" i="1"/>
  <c r="R37" i="1"/>
  <c r="S37" i="1"/>
  <c r="T37" i="1"/>
  <c r="J38" i="1"/>
  <c r="K38" i="1"/>
  <c r="L38" i="1"/>
  <c r="M38" i="1"/>
  <c r="N38" i="1"/>
  <c r="O38" i="1"/>
  <c r="P38" i="1"/>
  <c r="Q38" i="1"/>
  <c r="R38" i="1"/>
  <c r="S38" i="1"/>
  <c r="T38" i="1"/>
  <c r="J39" i="1"/>
  <c r="K39" i="1"/>
  <c r="L39" i="1"/>
  <c r="M39" i="1"/>
  <c r="N39" i="1"/>
  <c r="O39" i="1"/>
  <c r="P39" i="1"/>
  <c r="Q39" i="1"/>
  <c r="R39" i="1"/>
  <c r="S39" i="1"/>
  <c r="T39" i="1"/>
  <c r="J40" i="1"/>
  <c r="K40" i="1"/>
  <c r="L40" i="1"/>
  <c r="M40" i="1"/>
  <c r="N40" i="1"/>
  <c r="O40" i="1"/>
  <c r="P40" i="1"/>
  <c r="Q40" i="1"/>
  <c r="R40" i="1"/>
  <c r="S40" i="1"/>
  <c r="T40" i="1"/>
  <c r="J41" i="1"/>
  <c r="K41" i="1"/>
  <c r="L41" i="1"/>
  <c r="M41" i="1"/>
  <c r="N41" i="1"/>
  <c r="O41" i="1"/>
  <c r="P41" i="1"/>
  <c r="Q41" i="1"/>
  <c r="R41" i="1"/>
  <c r="S41" i="1"/>
  <c r="T41" i="1"/>
  <c r="J42" i="1"/>
  <c r="K42" i="1"/>
  <c r="L42" i="1"/>
  <c r="M42" i="1"/>
  <c r="N42" i="1"/>
  <c r="O42" i="1"/>
  <c r="P42" i="1"/>
  <c r="Q42" i="1"/>
  <c r="R42" i="1"/>
  <c r="S42" i="1"/>
  <c r="T42" i="1"/>
  <c r="J43" i="1"/>
  <c r="K43" i="1"/>
  <c r="L43" i="1"/>
  <c r="M43" i="1"/>
  <c r="N43" i="1"/>
  <c r="O43" i="1"/>
  <c r="P43" i="1"/>
  <c r="Q43" i="1"/>
  <c r="R43" i="1"/>
  <c r="S43" i="1"/>
  <c r="T43" i="1"/>
  <c r="J44" i="1"/>
  <c r="K44" i="1"/>
  <c r="L44" i="1"/>
  <c r="M44" i="1"/>
  <c r="N44" i="1"/>
  <c r="O44" i="1"/>
  <c r="P44" i="1"/>
  <c r="Q44" i="1"/>
  <c r="R44" i="1"/>
  <c r="S44" i="1"/>
  <c r="T44" i="1"/>
  <c r="J45" i="1"/>
  <c r="K45" i="1"/>
  <c r="L45" i="1"/>
  <c r="M45" i="1"/>
  <c r="N45" i="1"/>
  <c r="O45" i="1"/>
  <c r="P45" i="1"/>
  <c r="Q45" i="1"/>
  <c r="R45" i="1"/>
  <c r="S45" i="1"/>
  <c r="T45" i="1"/>
  <c r="J46" i="1"/>
  <c r="K46" i="1"/>
  <c r="L46" i="1"/>
  <c r="M46" i="1"/>
  <c r="N46" i="1"/>
  <c r="O46" i="1"/>
  <c r="P46" i="1"/>
  <c r="Q46" i="1"/>
  <c r="R46" i="1"/>
  <c r="S46" i="1"/>
  <c r="T46" i="1"/>
  <c r="J47" i="1"/>
  <c r="K47" i="1"/>
  <c r="L47" i="1"/>
  <c r="M47" i="1"/>
  <c r="N47" i="1"/>
  <c r="O47" i="1"/>
  <c r="P47" i="1"/>
  <c r="Q47" i="1"/>
  <c r="R47" i="1"/>
  <c r="S47" i="1"/>
  <c r="T47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AF83" i="1" l="1"/>
  <c r="AB83" i="1"/>
  <c r="K114" i="1"/>
  <c r="O115" i="1"/>
  <c r="I112" i="1"/>
  <c r="Q112" i="1"/>
  <c r="M112" i="1"/>
  <c r="AC83" i="1"/>
  <c r="X83" i="1"/>
  <c r="S113" i="1"/>
  <c r="O112" i="1"/>
  <c r="K115" i="1"/>
  <c r="T112" i="1"/>
  <c r="P112" i="1"/>
  <c r="L112" i="1"/>
  <c r="W81" i="1"/>
  <c r="AE81" i="1"/>
  <c r="AA83" i="1"/>
  <c r="S115" i="1"/>
  <c r="O114" i="1"/>
  <c r="O116" i="1" s="1"/>
  <c r="K113" i="1"/>
  <c r="S112" i="1"/>
  <c r="AG83" i="1"/>
  <c r="Y83" i="1"/>
  <c r="AB51" i="1"/>
  <c r="Z83" i="1"/>
  <c r="S114" i="1"/>
  <c r="O113" i="1"/>
  <c r="K112" i="1"/>
  <c r="AF51" i="1"/>
  <c r="X51" i="1"/>
  <c r="R112" i="1"/>
  <c r="N112" i="1"/>
  <c r="J112" i="1"/>
  <c r="W51" i="1"/>
  <c r="R115" i="1"/>
  <c r="N115" i="1"/>
  <c r="J115" i="1"/>
  <c r="R114" i="1"/>
  <c r="N114" i="1"/>
  <c r="J114" i="1"/>
  <c r="R113" i="1"/>
  <c r="N113" i="1"/>
  <c r="J113" i="1"/>
  <c r="AD83" i="1"/>
  <c r="Q115" i="1"/>
  <c r="M115" i="1"/>
  <c r="I115" i="1"/>
  <c r="Q114" i="1"/>
  <c r="M114" i="1"/>
  <c r="I114" i="1"/>
  <c r="Q113" i="1"/>
  <c r="M113" i="1"/>
  <c r="I113" i="1"/>
  <c r="AH83" i="1"/>
  <c r="T115" i="1"/>
  <c r="P115" i="1"/>
  <c r="L115" i="1"/>
  <c r="T114" i="1"/>
  <c r="P114" i="1"/>
  <c r="L114" i="1"/>
  <c r="T113" i="1"/>
  <c r="P113" i="1"/>
  <c r="L113" i="1"/>
  <c r="AH51" i="1"/>
  <c r="AD51" i="1"/>
  <c r="Z51" i="1"/>
  <c r="AG51" i="1"/>
  <c r="AC51" i="1"/>
  <c r="Y51" i="1"/>
  <c r="AE51" i="1"/>
  <c r="AA51" i="1"/>
  <c r="AA80" i="1"/>
  <c r="AE80" i="1"/>
  <c r="AA81" i="1"/>
  <c r="W82" i="1"/>
  <c r="AE82" i="1"/>
  <c r="W83" i="1"/>
  <c r="AE83" i="1"/>
  <c r="Y80" i="1"/>
  <c r="AC80" i="1"/>
  <c r="AG80" i="1"/>
  <c r="Y81" i="1"/>
  <c r="AC81" i="1"/>
  <c r="AG81" i="1"/>
  <c r="Y82" i="1"/>
  <c r="AC82" i="1"/>
  <c r="AG82" i="1"/>
  <c r="W80" i="1"/>
  <c r="AA82" i="1"/>
  <c r="AA84" i="1" s="1"/>
  <c r="X80" i="1"/>
  <c r="AB80" i="1"/>
  <c r="AF80" i="1"/>
  <c r="X81" i="1"/>
  <c r="AB81" i="1"/>
  <c r="AF81" i="1"/>
  <c r="X82" i="1"/>
  <c r="AB82" i="1"/>
  <c r="AB84" i="1" s="1"/>
  <c r="AF82" i="1"/>
  <c r="Z80" i="1"/>
  <c r="AD80" i="1"/>
  <c r="AH80" i="1"/>
  <c r="Z81" i="1"/>
  <c r="AD81" i="1"/>
  <c r="AH81" i="1"/>
  <c r="Z82" i="1"/>
  <c r="Z84" i="1" s="1"/>
  <c r="AD82" i="1"/>
  <c r="AH82" i="1"/>
  <c r="W48" i="1"/>
  <c r="AA48" i="1"/>
  <c r="AE48" i="1"/>
  <c r="W49" i="1"/>
  <c r="AA49" i="1"/>
  <c r="AE49" i="1"/>
  <c r="W50" i="1"/>
  <c r="W52" i="1" s="1"/>
  <c r="AA50" i="1"/>
  <c r="AE50" i="1"/>
  <c r="X48" i="1"/>
  <c r="AB48" i="1"/>
  <c r="AF48" i="1"/>
  <c r="X49" i="1"/>
  <c r="AB49" i="1"/>
  <c r="AF49" i="1"/>
  <c r="X50" i="1"/>
  <c r="AB50" i="1"/>
  <c r="AF50" i="1"/>
  <c r="AF52" i="1" s="1"/>
  <c r="Y48" i="1"/>
  <c r="AC48" i="1"/>
  <c r="AG48" i="1"/>
  <c r="Y49" i="1"/>
  <c r="AC49" i="1"/>
  <c r="AG49" i="1"/>
  <c r="Y50" i="1"/>
  <c r="AC50" i="1"/>
  <c r="AG50" i="1"/>
  <c r="Z48" i="1"/>
  <c r="AD48" i="1"/>
  <c r="AH48" i="1"/>
  <c r="Z49" i="1"/>
  <c r="AD49" i="1"/>
  <c r="AH49" i="1"/>
  <c r="Z50" i="1"/>
  <c r="AD50" i="1"/>
  <c r="AH50" i="1"/>
  <c r="R9" i="1" l="1"/>
  <c r="X84" i="1"/>
  <c r="K116" i="1"/>
  <c r="L9" i="1"/>
  <c r="P9" i="1"/>
  <c r="R16" i="1"/>
  <c r="O9" i="1"/>
  <c r="AB52" i="1"/>
  <c r="T4" i="1"/>
  <c r="Y4" i="1" s="1"/>
  <c r="AA52" i="1"/>
  <c r="AF84" i="1"/>
  <c r="M9" i="1"/>
  <c r="T9" i="1"/>
  <c r="L16" i="1"/>
  <c r="O16" i="1"/>
  <c r="M16" i="1"/>
  <c r="J16" i="1"/>
  <c r="S16" i="1"/>
  <c r="P16" i="1"/>
  <c r="Q16" i="1"/>
  <c r="N16" i="1"/>
  <c r="K16" i="1"/>
  <c r="T16" i="1"/>
  <c r="I16" i="1"/>
  <c r="AC84" i="1"/>
  <c r="S9" i="1"/>
  <c r="Q9" i="1"/>
  <c r="X52" i="1"/>
  <c r="AH84" i="1"/>
  <c r="AG84" i="1"/>
  <c r="K9" i="1"/>
  <c r="N9" i="1"/>
  <c r="S116" i="1"/>
  <c r="J9" i="1"/>
  <c r="Y84" i="1"/>
  <c r="AE52" i="1"/>
  <c r="AG52" i="1"/>
  <c r="I116" i="1"/>
  <c r="R116" i="1"/>
  <c r="Z52" i="1"/>
  <c r="AC52" i="1"/>
  <c r="M116" i="1"/>
  <c r="L116" i="1"/>
  <c r="Q116" i="1"/>
  <c r="J116" i="1"/>
  <c r="AH52" i="1"/>
  <c r="W84" i="1"/>
  <c r="P116" i="1"/>
  <c r="T116" i="1"/>
  <c r="N116" i="1"/>
  <c r="Y52" i="1"/>
  <c r="AD52" i="1"/>
  <c r="AD84" i="1"/>
  <c r="AE84" i="1"/>
  <c r="J5" i="2" l="1"/>
  <c r="T3" i="1"/>
  <c r="X4" i="1" s="1"/>
  <c r="Q4" i="1"/>
  <c r="Q3" i="1"/>
  <c r="Q5" i="1"/>
  <c r="H8" i="1"/>
  <c r="K2" i="1"/>
  <c r="H9" i="1" l="1"/>
  <c r="E3" i="2"/>
  <c r="L2" i="1"/>
  <c r="P83" i="1" l="1"/>
  <c r="S81" i="1"/>
  <c r="J49" i="1"/>
  <c r="R80" i="1"/>
  <c r="N80" i="1"/>
  <c r="L49" i="1"/>
  <c r="P82" i="1"/>
  <c r="S51" i="1"/>
  <c r="J81" i="1"/>
  <c r="N83" i="1"/>
  <c r="R82" i="1"/>
  <c r="S82" i="1"/>
  <c r="K83" i="1"/>
  <c r="M80" i="1"/>
  <c r="I81" i="1"/>
  <c r="S83" i="1"/>
  <c r="N82" i="1"/>
  <c r="K80" i="1"/>
  <c r="O80" i="1"/>
  <c r="S80" i="1"/>
  <c r="Q81" i="1"/>
  <c r="P81" i="1"/>
  <c r="J80" i="1"/>
  <c r="L80" i="1"/>
  <c r="M50" i="1"/>
  <c r="L50" i="1"/>
  <c r="K51" i="1"/>
  <c r="T51" i="1"/>
  <c r="P51" i="1"/>
  <c r="O48" i="1"/>
  <c r="J51" i="1"/>
  <c r="T48" i="1"/>
  <c r="J48" i="1"/>
  <c r="S50" i="1"/>
  <c r="I82" i="1"/>
  <c r="J50" i="1"/>
  <c r="O82" i="1"/>
  <c r="R49" i="1"/>
  <c r="Q48" i="1"/>
  <c r="P48" i="1"/>
  <c r="O49" i="1"/>
  <c r="K48" i="1"/>
  <c r="N81" i="1"/>
  <c r="P50" i="1"/>
  <c r="I48" i="1"/>
  <c r="S49" i="1"/>
  <c r="Q51" i="1"/>
  <c r="P49" i="1"/>
  <c r="N49" i="1"/>
  <c r="M49" i="1"/>
  <c r="L48" i="1"/>
  <c r="K49" i="1"/>
  <c r="T83" i="1"/>
  <c r="L81" i="1"/>
  <c r="P80" i="1"/>
  <c r="Q80" i="1"/>
  <c r="M83" i="1"/>
  <c r="Q83" i="1"/>
  <c r="L83" i="1"/>
  <c r="T82" i="1"/>
  <c r="L82" i="1"/>
  <c r="O81" i="1"/>
  <c r="M81" i="1"/>
  <c r="O83" i="1"/>
  <c r="R81" i="1"/>
  <c r="R83" i="1"/>
  <c r="J83" i="1"/>
  <c r="J82" i="1"/>
  <c r="I83" i="1"/>
  <c r="M82" i="1"/>
  <c r="Q82" i="1"/>
  <c r="I80" i="1"/>
  <c r="T81" i="1"/>
  <c r="T80" i="1"/>
  <c r="K81" i="1"/>
  <c r="K82" i="1"/>
  <c r="N50" i="1"/>
  <c r="M51" i="1"/>
  <c r="Q49" i="1"/>
  <c r="N48" i="1"/>
  <c r="S48" i="1"/>
  <c r="I51" i="1"/>
  <c r="N51" i="1"/>
  <c r="R51" i="1"/>
  <c r="I50" i="1"/>
  <c r="R50" i="1"/>
  <c r="M48" i="1"/>
  <c r="L51" i="1"/>
  <c r="Q50" i="1"/>
  <c r="R48" i="1"/>
  <c r="I49" i="1"/>
  <c r="T50" i="1"/>
  <c r="O51" i="1"/>
  <c r="O50" i="1"/>
  <c r="T49" i="1"/>
  <c r="K50" i="1"/>
  <c r="L52" i="1" l="1"/>
  <c r="N84" i="1"/>
  <c r="P84" i="1"/>
  <c r="J15" i="1"/>
  <c r="T84" i="1"/>
  <c r="S8" i="1"/>
  <c r="S14" i="1"/>
  <c r="L14" i="1"/>
  <c r="Q8" i="1"/>
  <c r="Q14" i="1"/>
  <c r="O15" i="1"/>
  <c r="R15" i="1"/>
  <c r="N8" i="1"/>
  <c r="N14" i="1"/>
  <c r="O14" i="1"/>
  <c r="K15" i="1"/>
  <c r="M8" i="1"/>
  <c r="M14" i="1"/>
  <c r="Q15" i="1"/>
  <c r="I14" i="1"/>
  <c r="J8" i="1"/>
  <c r="J14" i="1"/>
  <c r="M15" i="1"/>
  <c r="I15" i="1"/>
  <c r="K8" i="1"/>
  <c r="K14" i="1"/>
  <c r="R8" i="1"/>
  <c r="R14" i="1"/>
  <c r="T15" i="1"/>
  <c r="P15" i="1"/>
  <c r="P8" i="1"/>
  <c r="P14" i="1"/>
  <c r="T8" i="1"/>
  <c r="T14" i="1"/>
  <c r="L15" i="1"/>
  <c r="S15" i="1"/>
  <c r="N15" i="1"/>
  <c r="I8" i="1"/>
  <c r="O8" i="1"/>
  <c r="L8" i="1"/>
  <c r="K84" i="1"/>
  <c r="T52" i="1"/>
  <c r="Q84" i="1"/>
  <c r="I5" i="2"/>
  <c r="K5" i="2"/>
  <c r="M52" i="1"/>
  <c r="K52" i="1"/>
  <c r="S52" i="1"/>
  <c r="M84" i="1"/>
  <c r="R84" i="1"/>
  <c r="J52" i="1"/>
  <c r="S84" i="1"/>
  <c r="I84" i="1"/>
  <c r="J84" i="1"/>
  <c r="O84" i="1"/>
  <c r="N52" i="1"/>
  <c r="P52" i="1"/>
  <c r="Q52" i="1"/>
  <c r="I52" i="1"/>
  <c r="H5" i="2"/>
  <c r="L4" i="1"/>
  <c r="F5" i="2" s="1"/>
  <c r="L5" i="1"/>
  <c r="G5" i="2" s="1"/>
  <c r="L84" i="1"/>
  <c r="E5" i="2"/>
  <c r="O52" i="1"/>
  <c r="R52" i="1"/>
  <c r="K3" i="1" l="1"/>
  <c r="Y2" i="1" s="1"/>
  <c r="K4" i="1"/>
  <c r="C5" i="2" s="1"/>
  <c r="K5" i="1"/>
  <c r="B5" i="2"/>
  <c r="D5" i="2" l="1"/>
  <c r="Y3" i="1"/>
</calcChain>
</file>

<file path=xl/sharedStrings.xml><?xml version="1.0" encoding="utf-8"?>
<sst xmlns="http://schemas.openxmlformats.org/spreadsheetml/2006/main" count="93" uniqueCount="62">
  <si>
    <t>mean</t>
    <phoneticPr fontId="3"/>
  </si>
  <si>
    <t>3s</t>
    <phoneticPr fontId="3"/>
  </si>
  <si>
    <t>max</t>
    <phoneticPr fontId="3"/>
  </si>
  <si>
    <t>min</t>
    <phoneticPr fontId="3"/>
  </si>
  <si>
    <t>range</t>
    <phoneticPr fontId="3"/>
  </si>
  <si>
    <t>Mean</t>
    <phoneticPr fontId="3"/>
  </si>
  <si>
    <t>XY CD difference</t>
    <phoneticPr fontId="3"/>
  </si>
  <si>
    <t>45 CD difference</t>
    <phoneticPr fontId="3"/>
  </si>
  <si>
    <t>Date</t>
    <phoneticPr fontId="3"/>
  </si>
  <si>
    <t>XY CD diff.</t>
    <phoneticPr fontId="3"/>
  </si>
  <si>
    <t>45 CD diff.</t>
    <phoneticPr fontId="3"/>
  </si>
  <si>
    <t>Any angled CD diff.</t>
    <phoneticPr fontId="3"/>
  </si>
  <si>
    <t>@CD-mean</t>
    <phoneticPr fontId="3"/>
  </si>
  <si>
    <t>LER</t>
    <phoneticPr fontId="3"/>
  </si>
  <si>
    <t>Advan</t>
    <phoneticPr fontId="11"/>
  </si>
  <si>
    <t>&lt;COLA&gt;</t>
  </si>
  <si>
    <t>&lt;ROWA&gt;</t>
  </si>
  <si>
    <t>&lt;SITE&gt;</t>
  </si>
  <si>
    <t>-</t>
  </si>
  <si>
    <t>&lt;CD_1&gt;</t>
  </si>
  <si>
    <t>&lt;CD_2&gt;</t>
  </si>
  <si>
    <t>&lt;CD_3&gt;</t>
  </si>
  <si>
    <t>Holon</t>
    <phoneticPr fontId="11"/>
  </si>
  <si>
    <t>&lt;CD_4&gt;</t>
  </si>
  <si>
    <t>Space</t>
    <phoneticPr fontId="3"/>
  </si>
  <si>
    <t>Line</t>
    <phoneticPr fontId="3"/>
  </si>
  <si>
    <t>Pitch</t>
    <phoneticPr fontId="3"/>
  </si>
  <si>
    <t>&lt;CD_6&gt;</t>
    <phoneticPr fontId="10"/>
  </si>
  <si>
    <t>Max LER</t>
    <phoneticPr fontId="3"/>
  </si>
  <si>
    <t>Min LER</t>
    <phoneticPr fontId="3"/>
  </si>
  <si>
    <t>Mean LER</t>
    <phoneticPr fontId="3"/>
  </si>
  <si>
    <t>150nm</t>
    <phoneticPr fontId="3"/>
  </si>
  <si>
    <t>V</t>
    <phoneticPr fontId="3"/>
  </si>
  <si>
    <t>H</t>
    <phoneticPr fontId="3"/>
  </si>
  <si>
    <t>Any angle CD difference</t>
    <phoneticPr fontId="3"/>
  </si>
  <si>
    <t>Anyangle[nm]</t>
    <phoneticPr fontId="3"/>
  </si>
  <si>
    <t>Layer1 Col</t>
  </si>
  <si>
    <t>Layer1 Row</t>
  </si>
  <si>
    <t>Measure Point No</t>
  </si>
  <si>
    <t>ViewMeasPoint1</t>
  </si>
  <si>
    <t>ViewMeasPoint2</t>
  </si>
  <si>
    <t>ViewMeasPoint3</t>
  </si>
  <si>
    <t>L-3Sig1</t>
  </si>
  <si>
    <t>R-3Sig1</t>
  </si>
  <si>
    <t>No</t>
  </si>
  <si>
    <t>H</t>
    <phoneticPr fontId="3"/>
  </si>
  <si>
    <t>V</t>
    <phoneticPr fontId="3"/>
  </si>
  <si>
    <t>XY CD difference</t>
    <phoneticPr fontId="3"/>
  </si>
  <si>
    <t>Degree</t>
    <phoneticPr fontId="3"/>
  </si>
  <si>
    <t>V</t>
    <phoneticPr fontId="3"/>
  </si>
  <si>
    <t>H</t>
    <phoneticPr fontId="3"/>
  </si>
  <si>
    <t>CD</t>
    <phoneticPr fontId="3"/>
  </si>
  <si>
    <t>Degree</t>
    <phoneticPr fontId="3"/>
  </si>
  <si>
    <t>MBM-2000</t>
    <phoneticPr fontId="10"/>
  </si>
  <si>
    <t>MBM-3000</t>
  </si>
  <si>
    <t>Hor</t>
    <phoneticPr fontId="3"/>
  </si>
  <si>
    <t>Ver</t>
    <phoneticPr fontId="3"/>
  </si>
  <si>
    <t>LER[nm]</t>
    <phoneticPr fontId="3"/>
  </si>
  <si>
    <t>Edge Roughness</t>
    <phoneticPr fontId="3"/>
  </si>
  <si>
    <t>For SI data sheet</t>
    <phoneticPr fontId="3"/>
  </si>
  <si>
    <t>Difference (X-Y)</t>
    <phoneticPr fontId="3"/>
  </si>
  <si>
    <t xml:space="preserve">Angle line 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</si>
</sst>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_ "/>
    <numFmt numFmtId="177" formatCode="yyyy/m/d;@"/>
    <numFmt numFmtId="178" formatCode="0.0_ "/>
    <numFmt numFmtId="184" formatCode="0.00000000"/>
    <numFmt numFmtId="185" formatCode="0.000000000"/>
    <numFmt numFmtId="186" formatCode="0.0000000000"/>
    <numFmt numFmtId="187" formatCode="0.00000000000"/>
  </numFmts>
  <fonts count="17" x14ac:knownFonts="1"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Arial"/>
      <family val="2"/>
    </font>
    <font>
      <sz val="6"/>
      <name val="ＭＳ Ｐゴシック"/>
      <family val="3"/>
      <charset val="128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ＭＳ Ｐゴシック"/>
      <family val="3"/>
      <charset val="128"/>
      <scheme val="minor"/>
    </font>
    <font>
      <b/>
      <sz val="10"/>
      <color rgb="FF3F3F3F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HGｺﾞｼｯｸM"/>
      <family val="2"/>
      <charset val="128"/>
    </font>
    <font>
      <sz val="11"/>
      <color theme="0"/>
      <name val="ＭＳ Ｐ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Arial"/>
      <family val="2"/>
    </font>
    <font>
      <i/>
      <sz val="11"/>
      <color rgb="FF0070C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/>
    <xf numFmtId="0" fontId="9" fillId="7" borderId="16" applyNumberFormat="0" applyAlignment="0" applyProtection="0">
      <alignment vertical="center"/>
    </xf>
    <xf numFmtId="0" fontId="8" fillId="8" borderId="17" applyNumberFormat="0" applyFont="0" applyAlignment="0" applyProtection="0">
      <alignment vertical="center"/>
    </xf>
  </cellStyleXfs>
  <cellXfs count="85">
    <xf numFmtId="0" fontId="0" fillId="0" borderId="0" xfId="0">
      <alignment vertical="center"/>
    </xf>
    <xf numFmtId="0" fontId="4" fillId="0" borderId="0" xfId="2" applyFont="1"/>
    <xf numFmtId="0" fontId="5" fillId="0" borderId="0" xfId="0" applyFont="1">
      <alignment vertical="center"/>
    </xf>
    <xf numFmtId="0" fontId="6" fillId="3" borderId="0" xfId="0" applyFont="1" applyFill="1" applyAlignment="1">
      <alignment horizontal="center"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6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0" fontId="5" fillId="0" borderId="9" xfId="0" applyFont="1" applyBorder="1">
      <alignment vertical="center"/>
    </xf>
    <xf numFmtId="0" fontId="6" fillId="2" borderId="10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176" fontId="5" fillId="0" borderId="11" xfId="0" applyNumberFormat="1" applyFont="1" applyBorder="1">
      <alignment vertical="center"/>
    </xf>
    <xf numFmtId="176" fontId="5" fillId="0" borderId="12" xfId="0" applyNumberFormat="1" applyFont="1" applyBorder="1">
      <alignment vertical="center"/>
    </xf>
    <xf numFmtId="176" fontId="5" fillId="0" borderId="13" xfId="0" applyNumberFormat="1" applyFont="1" applyBorder="1">
      <alignment vertical="center"/>
    </xf>
    <xf numFmtId="176" fontId="5" fillId="0" borderId="14" xfId="0" applyNumberFormat="1" applyFont="1" applyBorder="1">
      <alignment vertical="center"/>
    </xf>
    <xf numFmtId="176" fontId="5" fillId="0" borderId="0" xfId="0" applyNumberFormat="1" applyFont="1" applyBorder="1">
      <alignment vertical="center"/>
    </xf>
    <xf numFmtId="176" fontId="5" fillId="0" borderId="7" xfId="0" applyNumberFormat="1" applyFont="1" applyBorder="1">
      <alignment vertical="center"/>
    </xf>
    <xf numFmtId="176" fontId="5" fillId="0" borderId="15" xfId="0" applyNumberFormat="1" applyFont="1" applyBorder="1">
      <alignment vertical="center"/>
    </xf>
    <xf numFmtId="176" fontId="5" fillId="0" borderId="8" xfId="0" applyNumberFormat="1" applyFont="1" applyBorder="1">
      <alignment vertical="center"/>
    </xf>
    <xf numFmtId="176" fontId="5" fillId="0" borderId="9" xfId="0" applyNumberFormat="1" applyFont="1" applyBorder="1">
      <alignment vertical="center"/>
    </xf>
    <xf numFmtId="0" fontId="6" fillId="0" borderId="4" xfId="0" applyFont="1" applyBorder="1" applyAlignment="1">
      <alignment horizontal="right" vertical="center"/>
    </xf>
    <xf numFmtId="0" fontId="6" fillId="0" borderId="5" xfId="0" applyFont="1" applyBorder="1" applyAlignment="1">
      <alignment horizontal="right" vertical="center"/>
    </xf>
    <xf numFmtId="0" fontId="6" fillId="0" borderId="6" xfId="0" applyFont="1" applyBorder="1" applyAlignment="1">
      <alignment horizontal="right" vertical="center"/>
    </xf>
    <xf numFmtId="0" fontId="5" fillId="0" borderId="11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0" fontId="5" fillId="0" borderId="15" xfId="0" applyFont="1" applyBorder="1">
      <alignment vertical="center"/>
    </xf>
    <xf numFmtId="0" fontId="6" fillId="3" borderId="10" xfId="0" applyFont="1" applyFill="1" applyBorder="1">
      <alignment vertical="center"/>
    </xf>
    <xf numFmtId="0" fontId="6" fillId="2" borderId="10" xfId="0" applyFont="1" applyFill="1" applyBorder="1">
      <alignment vertical="center"/>
    </xf>
    <xf numFmtId="176" fontId="5" fillId="0" borderId="10" xfId="0" applyNumberFormat="1" applyFont="1" applyBorder="1">
      <alignment vertical="center"/>
    </xf>
    <xf numFmtId="0" fontId="5" fillId="4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176" fontId="5" fillId="0" borderId="10" xfId="0" applyNumberFormat="1" applyFont="1" applyFill="1" applyBorder="1">
      <alignment vertical="center"/>
    </xf>
    <xf numFmtId="0" fontId="2" fillId="0" borderId="0" xfId="0" applyFont="1" applyAlignment="1">
      <alignment vertical="center"/>
    </xf>
    <xf numFmtId="177" fontId="5" fillId="0" borderId="10" xfId="0" applyNumberFormat="1" applyFont="1" applyBorder="1" applyAlignment="1">
      <alignment horizontal="center" vertical="center"/>
    </xf>
    <xf numFmtId="2" fontId="5" fillId="0" borderId="10" xfId="0" applyNumberFormat="1" applyFont="1" applyBorder="1">
      <alignment vertical="center"/>
    </xf>
    <xf numFmtId="0" fontId="5" fillId="0" borderId="10" xfId="0" applyFont="1" applyBorder="1" applyAlignment="1">
      <alignment horizontal="right" vertical="center"/>
    </xf>
    <xf numFmtId="0" fontId="5" fillId="0" borderId="0" xfId="0" quotePrefix="1" applyFont="1">
      <alignment vertical="center"/>
    </xf>
    <xf numFmtId="0" fontId="7" fillId="0" borderId="0" xfId="1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>
      <alignment vertical="center"/>
    </xf>
    <xf numFmtId="0" fontId="2" fillId="0" borderId="0" xfId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0" fontId="0" fillId="8" borderId="17" xfId="4" applyFont="1">
      <alignment vertical="center"/>
    </xf>
    <xf numFmtId="0" fontId="9" fillId="7" borderId="16" xfId="3">
      <alignment vertical="center"/>
    </xf>
    <xf numFmtId="0" fontId="5" fillId="0" borderId="0" xfId="0" applyFont="1" applyFill="1" applyBorder="1" applyAlignment="1">
      <alignment horizontal="center" vertical="center"/>
    </xf>
    <xf numFmtId="176" fontId="5" fillId="0" borderId="0" xfId="0" applyNumberFormat="1" applyFont="1" applyFill="1" applyBorder="1">
      <alignment vertical="center"/>
    </xf>
    <xf numFmtId="0" fontId="6" fillId="9" borderId="10" xfId="0" applyFont="1" applyFill="1" applyBorder="1" applyAlignment="1">
      <alignment horizontal="center" vertical="center"/>
    </xf>
    <xf numFmtId="176" fontId="5" fillId="6" borderId="10" xfId="0" applyNumberFormat="1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0" xfId="0" applyFont="1" applyBorder="1">
      <alignment vertical="center"/>
    </xf>
    <xf numFmtId="0" fontId="2" fillId="0" borderId="0" xfId="1" applyFont="1" applyFill="1" applyBorder="1" applyAlignment="1">
      <alignment horizontal="center" vertical="center"/>
    </xf>
    <xf numFmtId="0" fontId="2" fillId="0" borderId="0" xfId="1" applyFont="1">
      <alignment vertical="center"/>
    </xf>
    <xf numFmtId="2" fontId="5" fillId="0" borderId="0" xfId="0" applyNumberFormat="1" applyFont="1">
      <alignment vertical="center"/>
    </xf>
    <xf numFmtId="2" fontId="5" fillId="6" borderId="10" xfId="0" applyNumberFormat="1" applyFont="1" applyFill="1" applyBorder="1">
      <alignment vertical="center"/>
    </xf>
    <xf numFmtId="2" fontId="5" fillId="0" borderId="0" xfId="0" applyNumberFormat="1" applyFont="1" applyFill="1">
      <alignment vertical="center"/>
    </xf>
    <xf numFmtId="0" fontId="0" fillId="0" borderId="0" xfId="0" applyBorder="1">
      <alignment vertical="center"/>
    </xf>
    <xf numFmtId="0" fontId="12" fillId="0" borderId="0" xfId="0" applyFont="1" applyBorder="1">
      <alignment vertical="center"/>
    </xf>
    <xf numFmtId="0" fontId="6" fillId="0" borderId="10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/>
    </xf>
    <xf numFmtId="0" fontId="15" fillId="11" borderId="10" xfId="0" applyFont="1" applyFill="1" applyBorder="1" applyAlignment="1">
      <alignment horizontal="center"/>
    </xf>
    <xf numFmtId="2" fontId="16" fillId="12" borderId="8" xfId="0" applyNumberFormat="1" applyFont="1" applyFill="1" applyBorder="1" applyAlignment="1">
      <alignment horizontal="center"/>
    </xf>
    <xf numFmtId="176" fontId="5" fillId="0" borderId="3" xfId="0" applyNumberFormat="1" applyFont="1" applyFill="1" applyBorder="1">
      <alignment vertical="center"/>
    </xf>
    <xf numFmtId="0" fontId="5" fillId="0" borderId="4" xfId="0" applyFont="1" applyFill="1" applyBorder="1" applyAlignment="1">
      <alignment horizontal="right" vertical="center"/>
    </xf>
    <xf numFmtId="0" fontId="15" fillId="0" borderId="10" xfId="0" applyFont="1" applyBorder="1" applyAlignment="1">
      <alignment horizontal="left"/>
    </xf>
    <xf numFmtId="0" fontId="5" fillId="0" borderId="0" xfId="0" applyFont="1" applyFill="1" applyAlignment="1">
      <alignment horizontal="left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84" fontId="5" fillId="0" borderId="10" xfId="0" applyNumberFormat="1" applyFont="1" applyBorder="1" applyAlignment="1">
      <alignment horizontal="center" vertical="center"/>
    </xf>
    <xf numFmtId="186" fontId="5" fillId="0" borderId="10" xfId="0" applyNumberFormat="1" applyFont="1" applyBorder="1" applyAlignment="1">
      <alignment horizontal="center" vertical="center"/>
    </xf>
    <xf numFmtId="187" fontId="5" fillId="0" borderId="10" xfId="0" applyNumberFormat="1" applyFont="1" applyBorder="1" applyAlignment="1">
      <alignment horizontal="center" vertical="center"/>
    </xf>
    <xf numFmtId="185" fontId="5" fillId="0" borderId="10" xfId="0" applyNumberFormat="1" applyFont="1" applyBorder="1">
      <alignment vertical="center"/>
    </xf>
  </cellXfs>
  <cellStyles count="5">
    <cellStyle name="メモ" xfId="4" builtinId="10"/>
    <cellStyle name="出力" xfId="3" builtinId="21"/>
    <cellStyle name="標準" xfId="0" builtinId="0"/>
    <cellStyle name="標準 2" xfId="1"/>
    <cellStyle name="標準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Anyangle</a:t>
            </a:r>
            <a:endParaRPr lang="ja-JP" sz="18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Data!$H$8</c:f>
              <c:strCache>
                <c:ptCount val="1"/>
                <c:pt idx="0">
                  <c:v>Space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Data!$I$8:$T$8</c:f>
              <c:numCache>
                <c:formatCode>0.00_ </c:formatCode>
                <c:ptCount val="12"/>
                <c:pt idx="0">
                  <c:v>81.003640000000004</c:v>
                </c:pt>
                <c:pt idx="1">
                  <c:v>81.280399999999986</c:v>
                </c:pt>
                <c:pt idx="2">
                  <c:v>81.261119999999991</c:v>
                </c:pt>
                <c:pt idx="3">
                  <c:v>81.30019999999999</c:v>
                </c:pt>
                <c:pt idx="4">
                  <c:v>81.154679999999985</c:v>
                </c:pt>
                <c:pt idx="5">
                  <c:v>81.018919999999994</c:v>
                </c:pt>
                <c:pt idx="6">
                  <c:v>80.924920000000014</c:v>
                </c:pt>
                <c:pt idx="7">
                  <c:v>81.125199999999992</c:v>
                </c:pt>
                <c:pt idx="8">
                  <c:v>81.241640000000004</c:v>
                </c:pt>
                <c:pt idx="9">
                  <c:v>81.179359999999988</c:v>
                </c:pt>
                <c:pt idx="10">
                  <c:v>81.267680000000013</c:v>
                </c:pt>
                <c:pt idx="11">
                  <c:v>81.199119999999994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78-43DB-A098-6B8DE7F67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scatterChart>
        <c:scatterStyle val="lineMarker"/>
        <c:varyColors val="0"/>
        <c:ser>
          <c:idx val="1"/>
          <c:order val="1"/>
          <c:tx>
            <c:strRef>
              <c:f>Data!$H$9</c:f>
              <c:strCache>
                <c:ptCount val="1"/>
                <c:pt idx="0">
                  <c:v>LER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Data!$I$9:$T$9</c:f>
              <c:numCache>
                <c:formatCode>0.00_ </c:formatCode>
                <c:ptCount val="12"/>
                <c:pt idx="0">
                  <c:v>2.0006600000000003</c:v>
                </c:pt>
                <c:pt idx="1">
                  <c:v>2.0448</c:v>
                </c:pt>
                <c:pt idx="2">
                  <c:v>2.1486399999999994</c:v>
                </c:pt>
                <c:pt idx="3">
                  <c:v>1.9400199999999999</c:v>
                </c:pt>
                <c:pt idx="4">
                  <c:v>1.92266</c:v>
                </c:pt>
                <c:pt idx="5">
                  <c:v>1.9265600000000001</c:v>
                </c:pt>
                <c:pt idx="6">
                  <c:v>1.4356200000000001</c:v>
                </c:pt>
                <c:pt idx="7">
                  <c:v>1.9956</c:v>
                </c:pt>
                <c:pt idx="8">
                  <c:v>2.1469800000000001</c:v>
                </c:pt>
                <c:pt idx="9">
                  <c:v>2.1332999999999998</c:v>
                </c:pt>
                <c:pt idx="10">
                  <c:v>2.2463000000000006</c:v>
                </c:pt>
                <c:pt idx="11">
                  <c:v>2.2050800000000002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78-43DB-A098-6B8DE7F67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18464"/>
        <c:axId val="318320000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Angle[Degree]</a:t>
                </a:r>
                <a:endParaRPr lang="ja-JP"/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CD 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layout/>
          <c:overlay val="0"/>
        </c:title>
        <c:numFmt formatCode="#,##0.0_ 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ja-JP"/>
          </a:p>
        </c:txPr>
        <c:crossAx val="318309888"/>
        <c:crosses val="autoZero"/>
        <c:crossBetween val="midCat"/>
      </c:valAx>
      <c:valAx>
        <c:axId val="31831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8320000"/>
        <c:crosses val="autoZero"/>
        <c:crossBetween val="midCat"/>
      </c:valAx>
      <c:valAx>
        <c:axId val="318320000"/>
        <c:scaling>
          <c:orientation val="minMax"/>
          <c:max val="2.5"/>
          <c:min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r>
                  <a:rPr lang="en-US" altLang="ja-JP">
                    <a:solidFill>
                      <a:srgbClr val="FF0000"/>
                    </a:solidFill>
                  </a:rPr>
                  <a:t>LER 3</a:t>
                </a:r>
                <a:r>
                  <a:rPr lang="en-US" altLang="ja-JP">
                    <a:solidFill>
                      <a:srgbClr val="FF0000"/>
                    </a:solidFill>
                    <a:latin typeface="Snap ITC" panose="04040A07060A02020202" pitchFamily="82" charset="0"/>
                  </a:rPr>
                  <a:t>σ</a:t>
                </a:r>
                <a:r>
                  <a:rPr lang="en-US" altLang="ja-JP" baseline="0">
                    <a:solidFill>
                      <a:srgbClr val="FF0000"/>
                    </a:solidFill>
                  </a:rPr>
                  <a:t> </a:t>
                </a:r>
                <a:r>
                  <a:rPr lang="en-US" altLang="ja-JP">
                    <a:solidFill>
                      <a:srgbClr val="FF0000"/>
                    </a:solidFill>
                  </a:rPr>
                  <a:t>[nm]</a:t>
                </a:r>
                <a:endParaRPr lang="ja-JP" altLang="en-US">
                  <a:solidFill>
                    <a:srgbClr val="FF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93238650902239262"/>
              <c:y val="0.36586386428332712"/>
            </c:manualLayout>
          </c:layout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ja-JP"/>
          </a:p>
        </c:txPr>
        <c:crossAx val="318318464"/>
        <c:crosses val="max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Anyangle CD</a:t>
            </a:r>
            <a:endParaRPr lang="ja-JP" sz="18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Data!$H$14</c:f>
              <c:strCache>
                <c:ptCount val="1"/>
                <c:pt idx="0">
                  <c:v>Space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Data!$I$14:$T$14</c:f>
              <c:numCache>
                <c:formatCode>0.00_ </c:formatCode>
                <c:ptCount val="12"/>
                <c:pt idx="0">
                  <c:v>-0.15943333333332532</c:v>
                </c:pt>
                <c:pt idx="1">
                  <c:v>0.11732666666665637</c:v>
                </c:pt>
                <c:pt idx="2">
                  <c:v>9.8046666666661508E-2</c:v>
                </c:pt>
                <c:pt idx="3">
                  <c:v>0.13712666666665996</c:v>
                </c:pt>
                <c:pt idx="4">
                  <c:v>-8.393333333344799E-3</c:v>
                </c:pt>
                <c:pt idx="5">
                  <c:v>-0.14415333333333535</c:v>
                </c:pt>
                <c:pt idx="6">
                  <c:v>-0.23815333333331523</c:v>
                </c:pt>
                <c:pt idx="7">
                  <c:v>-3.78733333333372E-2</c:v>
                </c:pt>
                <c:pt idx="8">
                  <c:v>7.8566666666674223E-2</c:v>
                </c:pt>
                <c:pt idx="9">
                  <c:v>1.6286666666658789E-2</c:v>
                </c:pt>
                <c:pt idx="10">
                  <c:v>0.10460666666668317</c:v>
                </c:pt>
                <c:pt idx="11">
                  <c:v>3.6046666666663896E-2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D-40F8-A3C5-28B82979C6A0}"/>
            </c:ext>
          </c:extLst>
        </c:ser>
        <c:ser>
          <c:idx val="1"/>
          <c:order val="1"/>
          <c:tx>
            <c:strRef>
              <c:f>Data!$H$15</c:f>
              <c:strCache>
                <c:ptCount val="1"/>
                <c:pt idx="0">
                  <c:v>Line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Data!$I$15:$T$15</c:f>
              <c:numCache>
                <c:formatCode>0.00_ </c:formatCode>
                <c:ptCount val="12"/>
                <c:pt idx="0">
                  <c:v>5.8680000000023824E-2</c:v>
                </c:pt>
                <c:pt idx="1">
                  <c:v>-0.10907999999997742</c:v>
                </c:pt>
                <c:pt idx="2">
                  <c:v>-1.8679999999960728E-2</c:v>
                </c:pt>
                <c:pt idx="3">
                  <c:v>-0.1854799999999841</c:v>
                </c:pt>
                <c:pt idx="4">
                  <c:v>-6.5999999999775127E-3</c:v>
                </c:pt>
                <c:pt idx="5">
                  <c:v>0.15100000000001046</c:v>
                </c:pt>
                <c:pt idx="6">
                  <c:v>0.37964000000002329</c:v>
                </c:pt>
                <c:pt idx="7">
                  <c:v>2.552000000001442E-2</c:v>
                </c:pt>
                <c:pt idx="8">
                  <c:v>-3.9039999999985753E-2</c:v>
                </c:pt>
                <c:pt idx="9">
                  <c:v>-2.5519999999971787E-2</c:v>
                </c:pt>
                <c:pt idx="10">
                  <c:v>-0.18591999999996744</c:v>
                </c:pt>
                <c:pt idx="11">
                  <c:v>-4.4519999999977244E-2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1D-40F8-A3C5-28B82979C6A0}"/>
            </c:ext>
          </c:extLst>
        </c:ser>
        <c:ser>
          <c:idx val="2"/>
          <c:order val="2"/>
          <c:tx>
            <c:strRef>
              <c:f>Data!$H$16</c:f>
              <c:strCache>
                <c:ptCount val="1"/>
                <c:pt idx="0">
                  <c:v>Pitch</c:v>
                </c:pt>
              </c:strCache>
            </c:strRef>
          </c:tx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Data!$I$16:$T$16</c:f>
              <c:numCache>
                <c:formatCode>0.00_ </c:formatCode>
                <c:ptCount val="12"/>
                <c:pt idx="0">
                  <c:v>-0.10479666666671505</c:v>
                </c:pt>
                <c:pt idx="1">
                  <c:v>1.588333333327796E-2</c:v>
                </c:pt>
                <c:pt idx="2">
                  <c:v>7.7803333333292812E-2</c:v>
                </c:pt>
                <c:pt idx="3">
                  <c:v>-5.55966666666734E-2</c:v>
                </c:pt>
                <c:pt idx="4">
                  <c:v>8.3333333265045439E-5</c:v>
                </c:pt>
                <c:pt idx="5">
                  <c:v>1.4833333333115206E-3</c:v>
                </c:pt>
                <c:pt idx="6">
                  <c:v>0.1380833333332987</c:v>
                </c:pt>
                <c:pt idx="7">
                  <c:v>-8.1166666667229492E-3</c:v>
                </c:pt>
                <c:pt idx="8">
                  <c:v>3.2723333333279925E-2</c:v>
                </c:pt>
                <c:pt idx="9">
                  <c:v>-6.1566666667260961E-3</c:v>
                </c:pt>
                <c:pt idx="10">
                  <c:v>-8.6356666666716819E-2</c:v>
                </c:pt>
                <c:pt idx="11">
                  <c:v>-5.0366666667116533E-3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1D-40F8-A3C5-28B82979C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Angle[Degree]</a:t>
                </a:r>
                <a:endParaRPr lang="ja-JP"/>
              </a:p>
            </c:rich>
          </c:tx>
          <c:layout/>
          <c:overlay val="0"/>
        </c:title>
        <c:numFmt formatCode="General" sourceLinked="1"/>
        <c:majorTickMark val="in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  <c:max val="0.5"/>
          <c:min val="-0.5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CD 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layout/>
          <c:overlay val="0"/>
        </c:title>
        <c:numFmt formatCode="#,##0.0_ 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ja-JP"/>
          </a:p>
        </c:txPr>
        <c:crossAx val="31830988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913469625870475"/>
          <c:y val="0.11604654974594326"/>
          <c:w val="0.39119612560285233"/>
          <c:h val="9.202299328039836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Anyangle CD</a:t>
            </a:r>
            <a:endParaRPr lang="ja-JP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Data!$H$48</c:f>
              <c:strCache>
                <c:ptCount val="1"/>
                <c:pt idx="0">
                  <c:v>mean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Data!$I$48:$T$48</c:f>
              <c:numCache>
                <c:formatCode>0.00_ </c:formatCode>
                <c:ptCount val="12"/>
                <c:pt idx="0">
                  <c:v>81.003640000000004</c:v>
                </c:pt>
                <c:pt idx="1">
                  <c:v>81.280399999999986</c:v>
                </c:pt>
                <c:pt idx="2">
                  <c:v>81.261119999999991</c:v>
                </c:pt>
                <c:pt idx="3">
                  <c:v>81.30019999999999</c:v>
                </c:pt>
                <c:pt idx="4">
                  <c:v>81.154679999999985</c:v>
                </c:pt>
                <c:pt idx="5">
                  <c:v>81.018919999999994</c:v>
                </c:pt>
                <c:pt idx="6">
                  <c:v>80.924920000000014</c:v>
                </c:pt>
                <c:pt idx="7">
                  <c:v>81.125199999999992</c:v>
                </c:pt>
                <c:pt idx="8">
                  <c:v>81.241640000000004</c:v>
                </c:pt>
                <c:pt idx="9">
                  <c:v>81.179359999999988</c:v>
                </c:pt>
                <c:pt idx="10">
                  <c:v>81.267680000000013</c:v>
                </c:pt>
                <c:pt idx="11">
                  <c:v>81.199119999999994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2-4B18-A44D-6C46455A1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 Angle[Degree]</a:t>
                </a:r>
                <a:endParaRPr lang="ja-JP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Space CD 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</c:title>
        <c:numFmt formatCode="#,##0.0_ 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ja-JP"/>
          </a:p>
        </c:txPr>
        <c:crossAx val="318309888"/>
        <c:crosses val="autoZero"/>
        <c:crossBetween val="midCat"/>
        <c:majorUnit val="0.1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800"/>
              <a:t>Anyangle 3</a:t>
            </a:r>
            <a:r>
              <a:rPr lang="en-US" altLang="ja-JP" sz="1800"/>
              <a:t>σ</a:t>
            </a:r>
            <a:endParaRPr lang="ja-JP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Data!$H$49</c:f>
              <c:strCache>
                <c:ptCount val="1"/>
                <c:pt idx="0">
                  <c:v>3s</c:v>
                </c:pt>
              </c:strCache>
            </c:strRef>
          </c:tx>
          <c:spPr>
            <a:ln w="28575" cap="rnd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Data!$I$49:$T$49</c:f>
              <c:numCache>
                <c:formatCode>0.00_ </c:formatCode>
                <c:ptCount val="12"/>
                <c:pt idx="0">
                  <c:v>0.76328232653455375</c:v>
                </c:pt>
                <c:pt idx="1">
                  <c:v>0.58049095600189915</c:v>
                </c:pt>
                <c:pt idx="2">
                  <c:v>0.52397565783154509</c:v>
                </c:pt>
                <c:pt idx="3">
                  <c:v>0.88856189992594414</c:v>
                </c:pt>
                <c:pt idx="4">
                  <c:v>0.72970167877016179</c:v>
                </c:pt>
                <c:pt idx="5">
                  <c:v>0.43476624753998538</c:v>
                </c:pt>
                <c:pt idx="6">
                  <c:v>0.74464383432618342</c:v>
                </c:pt>
                <c:pt idx="7">
                  <c:v>0.53648159334686985</c:v>
                </c:pt>
                <c:pt idx="8">
                  <c:v>0.47334993398119252</c:v>
                </c:pt>
                <c:pt idx="9">
                  <c:v>1.0239895800251104</c:v>
                </c:pt>
                <c:pt idx="10">
                  <c:v>0.50251023870165989</c:v>
                </c:pt>
                <c:pt idx="11">
                  <c:v>0.61219073008336156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4-4255-943B-7E6DD468A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itchFamily="34" charset="0"/>
                    <a:ea typeface="+mn-ea"/>
                    <a:cs typeface="Arial" pitchFamily="34" charset="0"/>
                  </a:defRPr>
                </a:pPr>
                <a:r>
                  <a:rPr lang="en-US"/>
                  <a:t>CD Angle[Degree]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Arial" pitchFamily="34" charset="0"/>
                  <a:ea typeface="+mn-ea"/>
                  <a:cs typeface="Arial" pitchFamily="34" charset="0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070C0"/>
                    </a:solidFill>
                    <a:latin typeface="Arial" pitchFamily="34" charset="0"/>
                    <a:ea typeface="+mn-ea"/>
                    <a:cs typeface="Arial" pitchFamily="34" charset="0"/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Space </a:t>
                </a:r>
                <a:r>
                  <a:rPr lang="en-US" altLang="ja-JP">
                    <a:solidFill>
                      <a:srgbClr val="0070C0"/>
                    </a:solidFill>
                  </a:rPr>
                  <a:t>3σ </a:t>
                </a:r>
                <a:r>
                  <a:rPr lang="en-US">
                    <a:solidFill>
                      <a:srgbClr val="0070C0"/>
                    </a:solidFill>
                  </a:rPr>
                  <a:t>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070C0"/>
                  </a:solidFill>
                  <a:latin typeface="Arial" pitchFamily="34" charset="0"/>
                  <a:ea typeface="+mn-ea"/>
                  <a:cs typeface="Arial" pitchFamily="34" charset="0"/>
                </a:defRPr>
              </a:pPr>
              <a:endParaRPr lang="ja-JP"/>
            </a:p>
          </c:txPr>
        </c:title>
        <c:numFmt formatCode="#,##0.0_ " sourceLinked="0"/>
        <c:majorTickMark val="none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70C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endParaRPr lang="ja-JP"/>
          </a:p>
        </c:txPr>
        <c:crossAx val="31830988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Anyangle CD</a:t>
            </a:r>
            <a:endParaRPr lang="ja-JP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Data!$H$80</c:f>
              <c:strCache>
                <c:ptCount val="1"/>
                <c:pt idx="0">
                  <c:v>mean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Data!$I$80:$T$80</c:f>
              <c:numCache>
                <c:formatCode>0.00_ </c:formatCode>
                <c:ptCount val="12"/>
                <c:pt idx="0">
                  <c:v>94.891679999999994</c:v>
                </c:pt>
                <c:pt idx="1">
                  <c:v>94.723919999999993</c:v>
                </c:pt>
                <c:pt idx="2">
                  <c:v>94.814320000000009</c:v>
                </c:pt>
                <c:pt idx="3">
                  <c:v>94.647519999999986</c:v>
                </c:pt>
                <c:pt idx="4">
                  <c:v>94.826399999999992</c:v>
                </c:pt>
                <c:pt idx="5">
                  <c:v>94.98399999999998</c:v>
                </c:pt>
                <c:pt idx="6">
                  <c:v>95.212639999999993</c:v>
                </c:pt>
                <c:pt idx="7">
                  <c:v>94.858519999999984</c:v>
                </c:pt>
                <c:pt idx="8">
                  <c:v>94.793959999999984</c:v>
                </c:pt>
                <c:pt idx="9">
                  <c:v>94.807479999999998</c:v>
                </c:pt>
                <c:pt idx="10">
                  <c:v>94.647080000000003</c:v>
                </c:pt>
                <c:pt idx="11">
                  <c:v>94.788479999999993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74-48D5-AD7A-6528CDC8A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 Angle[Degree]</a:t>
                </a:r>
                <a:endParaRPr lang="ja-JP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Line CD 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</c:title>
        <c:numFmt formatCode="#,##0.0_ 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ja-JP"/>
          </a:p>
        </c:txPr>
        <c:crossAx val="318309888"/>
        <c:crosses val="autoZero"/>
        <c:crossBetween val="midCat"/>
        <c:majorUnit val="0.1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800"/>
              <a:t>Anyangle 3</a:t>
            </a:r>
            <a:r>
              <a:rPr lang="en-US" altLang="ja-JP" sz="1800"/>
              <a:t>σ</a:t>
            </a:r>
            <a:endParaRPr lang="ja-JP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Data!$H$81</c:f>
              <c:strCache>
                <c:ptCount val="1"/>
                <c:pt idx="0">
                  <c:v>3s</c:v>
                </c:pt>
              </c:strCache>
            </c:strRef>
          </c:tx>
          <c:spPr>
            <a:ln w="28575" cap="rnd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Data!$I$81:$T$81</c:f>
              <c:numCache>
                <c:formatCode>0.00_ </c:formatCode>
                <c:ptCount val="12"/>
                <c:pt idx="0">
                  <c:v>1.0148686072590858</c:v>
                </c:pt>
                <c:pt idx="1">
                  <c:v>0.67376326703078848</c:v>
                </c:pt>
                <c:pt idx="2">
                  <c:v>0.63047703368164165</c:v>
                </c:pt>
                <c:pt idx="3">
                  <c:v>0.82343220121634431</c:v>
                </c:pt>
                <c:pt idx="4">
                  <c:v>0.71650924627669954</c:v>
                </c:pt>
                <c:pt idx="5">
                  <c:v>0.61808676575380717</c:v>
                </c:pt>
                <c:pt idx="6">
                  <c:v>0.55467414758576761</c:v>
                </c:pt>
                <c:pt idx="7">
                  <c:v>0.51809032996187188</c:v>
                </c:pt>
                <c:pt idx="8">
                  <c:v>0.55742072082045513</c:v>
                </c:pt>
                <c:pt idx="9">
                  <c:v>1.206457351090374</c:v>
                </c:pt>
                <c:pt idx="10">
                  <c:v>0.58099005154993977</c:v>
                </c:pt>
                <c:pt idx="11">
                  <c:v>0.60240712147185527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01-445E-813E-0A3E7122B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itchFamily="34" charset="0"/>
                    <a:ea typeface="+mn-ea"/>
                    <a:cs typeface="Arial" pitchFamily="34" charset="0"/>
                  </a:defRPr>
                </a:pPr>
                <a:r>
                  <a:rPr lang="en-US"/>
                  <a:t>CD Angle[Degree]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Arial" pitchFamily="34" charset="0"/>
                  <a:ea typeface="+mn-ea"/>
                  <a:cs typeface="Arial" pitchFamily="34" charset="0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070C0"/>
                    </a:solidFill>
                    <a:latin typeface="Arial" pitchFamily="34" charset="0"/>
                    <a:ea typeface="+mn-ea"/>
                    <a:cs typeface="Arial" pitchFamily="34" charset="0"/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Line </a:t>
                </a:r>
                <a:r>
                  <a:rPr lang="en-US" altLang="ja-JP">
                    <a:solidFill>
                      <a:srgbClr val="0070C0"/>
                    </a:solidFill>
                  </a:rPr>
                  <a:t>3σ </a:t>
                </a:r>
                <a:r>
                  <a:rPr lang="en-US">
                    <a:solidFill>
                      <a:srgbClr val="0070C0"/>
                    </a:solidFill>
                  </a:rPr>
                  <a:t>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070C0"/>
                  </a:solidFill>
                  <a:latin typeface="Arial" pitchFamily="34" charset="0"/>
                  <a:ea typeface="+mn-ea"/>
                  <a:cs typeface="Arial" pitchFamily="34" charset="0"/>
                </a:defRPr>
              </a:pPr>
              <a:endParaRPr lang="ja-JP"/>
            </a:p>
          </c:txPr>
        </c:title>
        <c:numFmt formatCode="#,##0.0_ " sourceLinked="0"/>
        <c:majorTickMark val="none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70C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endParaRPr lang="ja-JP"/>
          </a:p>
        </c:txPr>
        <c:crossAx val="31830988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Anyangle CD</a:t>
            </a:r>
            <a:endParaRPr lang="ja-JP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Data!$H$112</c:f>
              <c:strCache>
                <c:ptCount val="1"/>
                <c:pt idx="0">
                  <c:v>mean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Data!$I$112:$T$112</c:f>
              <c:numCache>
                <c:formatCode>0.00_ </c:formatCode>
                <c:ptCount val="12"/>
                <c:pt idx="0">
                  <c:v>175.89972</c:v>
                </c:pt>
                <c:pt idx="1">
                  <c:v>176.0204</c:v>
                </c:pt>
                <c:pt idx="2">
                  <c:v>176.08232000000001</c:v>
                </c:pt>
                <c:pt idx="3">
                  <c:v>175.94892000000004</c:v>
                </c:pt>
                <c:pt idx="4">
                  <c:v>176.00459999999998</c:v>
                </c:pt>
                <c:pt idx="5">
                  <c:v>176.00600000000003</c:v>
                </c:pt>
                <c:pt idx="6">
                  <c:v>176.14260000000002</c:v>
                </c:pt>
                <c:pt idx="7">
                  <c:v>175.99639999999999</c:v>
                </c:pt>
                <c:pt idx="8">
                  <c:v>176.03724</c:v>
                </c:pt>
                <c:pt idx="9">
                  <c:v>175.99835999999999</c:v>
                </c:pt>
                <c:pt idx="10">
                  <c:v>175.91816</c:v>
                </c:pt>
                <c:pt idx="11">
                  <c:v>175.99948000000001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B-42D8-9535-537FD7971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 Angle[Degree]</a:t>
                </a:r>
                <a:endParaRPr lang="ja-JP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Pitch CD 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</c:title>
        <c:numFmt formatCode="#,##0.0_ 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ja-JP"/>
          </a:p>
        </c:txPr>
        <c:crossAx val="318309888"/>
        <c:crosses val="autoZero"/>
        <c:crossBetween val="midCat"/>
        <c:majorUnit val="0.1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r>
              <a:rPr lang="en-US" sz="1800"/>
              <a:t>Anyangle 3</a:t>
            </a:r>
            <a:r>
              <a:rPr lang="en-US" altLang="ja-JP" sz="1800"/>
              <a:t>σ</a:t>
            </a:r>
            <a:endParaRPr lang="ja-JP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Data!$H$113</c:f>
              <c:strCache>
                <c:ptCount val="1"/>
                <c:pt idx="0">
                  <c:v>3s</c:v>
                </c:pt>
              </c:strCache>
            </c:strRef>
          </c:tx>
          <c:spPr>
            <a:ln w="28575" cap="rnd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Data!$I$7:$T$7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Data!$I$113:$T$113</c:f>
              <c:numCache>
                <c:formatCode>0.00_ </c:formatCode>
                <c:ptCount val="12"/>
                <c:pt idx="0">
                  <c:v>0.85849221895134575</c:v>
                </c:pt>
                <c:pt idx="1">
                  <c:v>0.42391036788452735</c:v>
                </c:pt>
                <c:pt idx="2">
                  <c:v>0.65006022028732602</c:v>
                </c:pt>
                <c:pt idx="3">
                  <c:v>0.50227824957885181</c:v>
                </c:pt>
                <c:pt idx="4">
                  <c:v>0.56501039813440412</c:v>
                </c:pt>
                <c:pt idx="5">
                  <c:v>0.59545528799398539</c:v>
                </c:pt>
                <c:pt idx="6">
                  <c:v>0.56121319478429299</c:v>
                </c:pt>
                <c:pt idx="7">
                  <c:v>0.63388918589923171</c:v>
                </c:pt>
                <c:pt idx="8">
                  <c:v>0.48245721053788276</c:v>
                </c:pt>
                <c:pt idx="9">
                  <c:v>0.62397408600036686</c:v>
                </c:pt>
                <c:pt idx="10">
                  <c:v>0.55850358996160099</c:v>
                </c:pt>
                <c:pt idx="11">
                  <c:v>0.53958395083619382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8-4114-9168-8DD9E2AFC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itchFamily="34" charset="0"/>
                    <a:ea typeface="+mn-ea"/>
                    <a:cs typeface="Arial" pitchFamily="34" charset="0"/>
                  </a:defRPr>
                </a:pPr>
                <a:r>
                  <a:rPr lang="en-US"/>
                  <a:t>CD Angle[Degree]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Arial" pitchFamily="34" charset="0"/>
                  <a:ea typeface="+mn-ea"/>
                  <a:cs typeface="Arial" pitchFamily="34" charset="0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rgbClr val="0070C0"/>
                    </a:solidFill>
                    <a:latin typeface="Arial" pitchFamily="34" charset="0"/>
                    <a:ea typeface="+mn-ea"/>
                    <a:cs typeface="Arial" pitchFamily="34" charset="0"/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Pitch </a:t>
                </a:r>
                <a:r>
                  <a:rPr lang="en-US" altLang="ja-JP">
                    <a:solidFill>
                      <a:srgbClr val="0070C0"/>
                    </a:solidFill>
                  </a:rPr>
                  <a:t>3σ </a:t>
                </a:r>
                <a:r>
                  <a:rPr lang="en-US">
                    <a:solidFill>
                      <a:srgbClr val="0070C0"/>
                    </a:solidFill>
                  </a:rPr>
                  <a:t>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rgbClr val="0070C0"/>
                  </a:solidFill>
                  <a:latin typeface="Arial" pitchFamily="34" charset="0"/>
                  <a:ea typeface="+mn-ea"/>
                  <a:cs typeface="Arial" pitchFamily="34" charset="0"/>
                </a:defRPr>
              </a:pPr>
              <a:endParaRPr lang="ja-JP"/>
            </a:p>
          </c:txPr>
        </c:title>
        <c:numFmt formatCode="#,##0.0_ " sourceLinked="0"/>
        <c:majorTickMark val="none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70C0"/>
                </a:solidFill>
                <a:latin typeface="Arial" pitchFamily="34" charset="0"/>
                <a:ea typeface="+mn-ea"/>
                <a:cs typeface="Arial" pitchFamily="34" charset="0"/>
              </a:defRPr>
            </a:pPr>
            <a:endParaRPr lang="ja-JP"/>
          </a:p>
        </c:txPr>
        <c:crossAx val="31830988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Anyangle LER</a:t>
            </a:r>
            <a:endParaRPr lang="ja-JP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Data!$V$48</c:f>
              <c:strCache>
                <c:ptCount val="1"/>
                <c:pt idx="0">
                  <c:v>mean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</c:spPr>
          </c:marker>
          <c:xVal>
            <c:numRef>
              <c:f>Data!$W$22:$AH$22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Data!$W$48:$AH$48</c:f>
              <c:numCache>
                <c:formatCode>0.00_ </c:formatCode>
                <c:ptCount val="12"/>
                <c:pt idx="0">
                  <c:v>2.0591200000000005</c:v>
                </c:pt>
                <c:pt idx="1">
                  <c:v>2.0218400000000001</c:v>
                </c:pt>
                <c:pt idx="2">
                  <c:v>2.2088399999999999</c:v>
                </c:pt>
                <c:pt idx="3">
                  <c:v>1.9353600000000002</c:v>
                </c:pt>
                <c:pt idx="4">
                  <c:v>2.0016400000000001</c:v>
                </c:pt>
                <c:pt idx="5">
                  <c:v>1.9157200000000003</c:v>
                </c:pt>
                <c:pt idx="6">
                  <c:v>1.4137999999999999</c:v>
                </c:pt>
                <c:pt idx="7">
                  <c:v>2.02088</c:v>
                </c:pt>
                <c:pt idx="8">
                  <c:v>2.1408399999999999</c:v>
                </c:pt>
                <c:pt idx="9">
                  <c:v>2.1228399999999996</c:v>
                </c:pt>
                <c:pt idx="10">
                  <c:v>2.2697600000000007</c:v>
                </c:pt>
                <c:pt idx="11">
                  <c:v>2.2566800000000002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E-48F7-A55D-1B5FE1082300}"/>
            </c:ext>
          </c:extLst>
        </c:ser>
        <c:ser>
          <c:idx val="1"/>
          <c:order val="1"/>
          <c:tx>
            <c:strRef>
              <c:f>Data!$V$80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Data!$W$22:$AH$22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Data!$W$80:$AH$80</c:f>
              <c:numCache>
                <c:formatCode>0.00_ </c:formatCode>
                <c:ptCount val="12"/>
                <c:pt idx="0">
                  <c:v>1.9422000000000004</c:v>
                </c:pt>
                <c:pt idx="1">
                  <c:v>2.0677599999999998</c:v>
                </c:pt>
                <c:pt idx="2">
                  <c:v>2.0884399999999994</c:v>
                </c:pt>
                <c:pt idx="3">
                  <c:v>1.9446799999999995</c:v>
                </c:pt>
                <c:pt idx="4">
                  <c:v>1.84368</c:v>
                </c:pt>
                <c:pt idx="5">
                  <c:v>1.9373999999999998</c:v>
                </c:pt>
                <c:pt idx="6">
                  <c:v>1.4574400000000003</c:v>
                </c:pt>
                <c:pt idx="7">
                  <c:v>1.9703200000000003</c:v>
                </c:pt>
                <c:pt idx="8">
                  <c:v>2.1531199999999999</c:v>
                </c:pt>
                <c:pt idx="9">
                  <c:v>2.1437599999999999</c:v>
                </c:pt>
                <c:pt idx="10">
                  <c:v>2.2228400000000006</c:v>
                </c:pt>
                <c:pt idx="11">
                  <c:v>2.1534800000000001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E-48F7-A55D-1B5FE1082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 Angle[Degree]</a:t>
                </a:r>
                <a:endParaRPr lang="ja-JP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  <c:min val="1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LER </a:t>
                </a:r>
                <a:r>
                  <a:rPr lang="en-US" altLang="ja-JP" sz="1200" b="1" i="0" u="none" strike="noStrike" baseline="0">
                    <a:effectLst/>
                  </a:rPr>
                  <a:t>3σ </a:t>
                </a:r>
                <a:r>
                  <a:rPr lang="en-US">
                    <a:solidFill>
                      <a:srgbClr val="0070C0"/>
                    </a:solidFill>
                  </a:rPr>
                  <a:t>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</c:title>
        <c:numFmt formatCode="#,##0.0_ 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ja-JP"/>
          </a:p>
        </c:txPr>
        <c:crossAx val="31830988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Space CD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Data!$B$3:$B$327</c:f>
              <c:numCache>
                <c:formatCode>General</c:formatCode>
                <c:ptCount val="325"/>
                <c:pt idx="0">
                  <c:v>80.801000000000002</c:v>
                </c:pt>
                <c:pt idx="1">
                  <c:v>80.918000000000006</c:v>
                </c:pt>
                <c:pt idx="2">
                  <c:v>80.69</c:v>
                </c:pt>
                <c:pt idx="3">
                  <c:v>80.653999999999996</c:v>
                </c:pt>
                <c:pt idx="4">
                  <c:v>80.902000000000001</c:v>
                </c:pt>
                <c:pt idx="5">
                  <c:v>81.094999999999999</c:v>
                </c:pt>
                <c:pt idx="6">
                  <c:v>81.236000000000004</c:v>
                </c:pt>
                <c:pt idx="7">
                  <c:v>80.936000000000007</c:v>
                </c:pt>
                <c:pt idx="8">
                  <c:v>81.051000000000002</c:v>
                </c:pt>
                <c:pt idx="9">
                  <c:v>80.849000000000004</c:v>
                </c:pt>
                <c:pt idx="10">
                  <c:v>80.548000000000002</c:v>
                </c:pt>
                <c:pt idx="11">
                  <c:v>80.927999999999997</c:v>
                </c:pt>
                <c:pt idx="12">
                  <c:v>80.697000000000003</c:v>
                </c:pt>
                <c:pt idx="13">
                  <c:v>80.587000000000003</c:v>
                </c:pt>
                <c:pt idx="14">
                  <c:v>80.796000000000006</c:v>
                </c:pt>
                <c:pt idx="15">
                  <c:v>80.94</c:v>
                </c:pt>
                <c:pt idx="16">
                  <c:v>80.853999999999999</c:v>
                </c:pt>
                <c:pt idx="17">
                  <c:v>81.259</c:v>
                </c:pt>
                <c:pt idx="18">
                  <c:v>81.275000000000006</c:v>
                </c:pt>
                <c:pt idx="19">
                  <c:v>81.033000000000001</c:v>
                </c:pt>
                <c:pt idx="20">
                  <c:v>80.367999999999995</c:v>
                </c:pt>
                <c:pt idx="21">
                  <c:v>81.111000000000004</c:v>
                </c:pt>
                <c:pt idx="22">
                  <c:v>81.114999999999995</c:v>
                </c:pt>
                <c:pt idx="23">
                  <c:v>81.364999999999995</c:v>
                </c:pt>
                <c:pt idx="24">
                  <c:v>81.114999999999995</c:v>
                </c:pt>
                <c:pt idx="25">
                  <c:v>81.188999999999993</c:v>
                </c:pt>
                <c:pt idx="26">
                  <c:v>81.162999999999997</c:v>
                </c:pt>
                <c:pt idx="27">
                  <c:v>80.867999999999995</c:v>
                </c:pt>
                <c:pt idx="28">
                  <c:v>81.200999999999993</c:v>
                </c:pt>
                <c:pt idx="29">
                  <c:v>81.293999999999997</c:v>
                </c:pt>
                <c:pt idx="30">
                  <c:v>81.135999999999996</c:v>
                </c:pt>
                <c:pt idx="31">
                  <c:v>81.325000000000003</c:v>
                </c:pt>
                <c:pt idx="32">
                  <c:v>81.186999999999998</c:v>
                </c:pt>
                <c:pt idx="33">
                  <c:v>80.941999999999993</c:v>
                </c:pt>
                <c:pt idx="34">
                  <c:v>81.138000000000005</c:v>
                </c:pt>
                <c:pt idx="35">
                  <c:v>81.048000000000002</c:v>
                </c:pt>
                <c:pt idx="36">
                  <c:v>80.983000000000004</c:v>
                </c:pt>
                <c:pt idx="37">
                  <c:v>80.653000000000006</c:v>
                </c:pt>
                <c:pt idx="38">
                  <c:v>81.117000000000004</c:v>
                </c:pt>
                <c:pt idx="39">
                  <c:v>81.275999999999996</c:v>
                </c:pt>
                <c:pt idx="40">
                  <c:v>80.87</c:v>
                </c:pt>
                <c:pt idx="41">
                  <c:v>81.221000000000004</c:v>
                </c:pt>
                <c:pt idx="42">
                  <c:v>81.206999999999994</c:v>
                </c:pt>
                <c:pt idx="43">
                  <c:v>81.131</c:v>
                </c:pt>
                <c:pt idx="44">
                  <c:v>81.144999999999996</c:v>
                </c:pt>
                <c:pt idx="45">
                  <c:v>81.396000000000001</c:v>
                </c:pt>
                <c:pt idx="46">
                  <c:v>81.442999999999998</c:v>
                </c:pt>
                <c:pt idx="47">
                  <c:v>81.087000000000003</c:v>
                </c:pt>
                <c:pt idx="48">
                  <c:v>80.905000000000001</c:v>
                </c:pt>
                <c:pt idx="49">
                  <c:v>81.204999999999998</c:v>
                </c:pt>
                <c:pt idx="50">
                  <c:v>81.296999999999997</c:v>
                </c:pt>
                <c:pt idx="51">
                  <c:v>81.409000000000006</c:v>
                </c:pt>
                <c:pt idx="52">
                  <c:v>81.328000000000003</c:v>
                </c:pt>
                <c:pt idx="53">
                  <c:v>81.227999999999994</c:v>
                </c:pt>
                <c:pt idx="54">
                  <c:v>81.335999999999999</c:v>
                </c:pt>
                <c:pt idx="55">
                  <c:v>81.031000000000006</c:v>
                </c:pt>
                <c:pt idx="56">
                  <c:v>81.411000000000001</c:v>
                </c:pt>
                <c:pt idx="57">
                  <c:v>81.238</c:v>
                </c:pt>
                <c:pt idx="58">
                  <c:v>81.16</c:v>
                </c:pt>
                <c:pt idx="59">
                  <c:v>81.263000000000005</c:v>
                </c:pt>
                <c:pt idx="60">
                  <c:v>81.28</c:v>
                </c:pt>
                <c:pt idx="61">
                  <c:v>81.073999999999998</c:v>
                </c:pt>
                <c:pt idx="62">
                  <c:v>81.441000000000003</c:v>
                </c:pt>
                <c:pt idx="63">
                  <c:v>81.021000000000001</c:v>
                </c:pt>
                <c:pt idx="64">
                  <c:v>81.072000000000003</c:v>
                </c:pt>
                <c:pt idx="65">
                  <c:v>80.932000000000002</c:v>
                </c:pt>
                <c:pt idx="66">
                  <c:v>81.221999999999994</c:v>
                </c:pt>
                <c:pt idx="67">
                  <c:v>81.194000000000003</c:v>
                </c:pt>
                <c:pt idx="68">
                  <c:v>81.335999999999999</c:v>
                </c:pt>
                <c:pt idx="69">
                  <c:v>80.921000000000006</c:v>
                </c:pt>
                <c:pt idx="70">
                  <c:v>81.5</c:v>
                </c:pt>
                <c:pt idx="71">
                  <c:v>81.286000000000001</c:v>
                </c:pt>
                <c:pt idx="72">
                  <c:v>81.328000000000003</c:v>
                </c:pt>
                <c:pt idx="73">
                  <c:v>81.314999999999998</c:v>
                </c:pt>
                <c:pt idx="74">
                  <c:v>81.418000000000006</c:v>
                </c:pt>
                <c:pt idx="75">
                  <c:v>81.126999999999995</c:v>
                </c:pt>
                <c:pt idx="76">
                  <c:v>81.789000000000001</c:v>
                </c:pt>
                <c:pt idx="77">
                  <c:v>81.149000000000001</c:v>
                </c:pt>
                <c:pt idx="78">
                  <c:v>81.168000000000006</c:v>
                </c:pt>
                <c:pt idx="79">
                  <c:v>81.391000000000005</c:v>
                </c:pt>
                <c:pt idx="80">
                  <c:v>81.278000000000006</c:v>
                </c:pt>
                <c:pt idx="81">
                  <c:v>81.915999999999997</c:v>
                </c:pt>
                <c:pt idx="82">
                  <c:v>80.924000000000007</c:v>
                </c:pt>
                <c:pt idx="83">
                  <c:v>81.33</c:v>
                </c:pt>
                <c:pt idx="84">
                  <c:v>81.244</c:v>
                </c:pt>
                <c:pt idx="85">
                  <c:v>80.989999999999995</c:v>
                </c:pt>
                <c:pt idx="86">
                  <c:v>81.272999999999996</c:v>
                </c:pt>
                <c:pt idx="87">
                  <c:v>80.936999999999998</c:v>
                </c:pt>
                <c:pt idx="88">
                  <c:v>80.730999999999995</c:v>
                </c:pt>
                <c:pt idx="89">
                  <c:v>80.866</c:v>
                </c:pt>
                <c:pt idx="90">
                  <c:v>81.108000000000004</c:v>
                </c:pt>
                <c:pt idx="91">
                  <c:v>80.844999999999999</c:v>
                </c:pt>
                <c:pt idx="92">
                  <c:v>80.507000000000005</c:v>
                </c:pt>
                <c:pt idx="93">
                  <c:v>81.302000000000007</c:v>
                </c:pt>
                <c:pt idx="94">
                  <c:v>81.319000000000003</c:v>
                </c:pt>
                <c:pt idx="95">
                  <c:v>81.358000000000004</c:v>
                </c:pt>
                <c:pt idx="96">
                  <c:v>80.936000000000007</c:v>
                </c:pt>
                <c:pt idx="97">
                  <c:v>80.897000000000006</c:v>
                </c:pt>
                <c:pt idx="98">
                  <c:v>81.174999999999997</c:v>
                </c:pt>
                <c:pt idx="99">
                  <c:v>81.924000000000007</c:v>
                </c:pt>
                <c:pt idx="100">
                  <c:v>81.281000000000006</c:v>
                </c:pt>
                <c:pt idx="101">
                  <c:v>81.17</c:v>
                </c:pt>
                <c:pt idx="102">
                  <c:v>81.334000000000003</c:v>
                </c:pt>
                <c:pt idx="103">
                  <c:v>81.105999999999995</c:v>
                </c:pt>
                <c:pt idx="104">
                  <c:v>80.947999999999993</c:v>
                </c:pt>
                <c:pt idx="105">
                  <c:v>81.274000000000001</c:v>
                </c:pt>
                <c:pt idx="106">
                  <c:v>81.355000000000004</c:v>
                </c:pt>
                <c:pt idx="107">
                  <c:v>81.126000000000005</c:v>
                </c:pt>
                <c:pt idx="108">
                  <c:v>81.594999999999999</c:v>
                </c:pt>
                <c:pt idx="109">
                  <c:v>81.191999999999993</c:v>
                </c:pt>
                <c:pt idx="110">
                  <c:v>81.346000000000004</c:v>
                </c:pt>
                <c:pt idx="111">
                  <c:v>81.215999999999994</c:v>
                </c:pt>
                <c:pt idx="112">
                  <c:v>81.441999999999993</c:v>
                </c:pt>
                <c:pt idx="113">
                  <c:v>80.92</c:v>
                </c:pt>
                <c:pt idx="114">
                  <c:v>81.096000000000004</c:v>
                </c:pt>
                <c:pt idx="115">
                  <c:v>81.331999999999994</c:v>
                </c:pt>
                <c:pt idx="116">
                  <c:v>81.058000000000007</c:v>
                </c:pt>
                <c:pt idx="117">
                  <c:v>81.275000000000006</c:v>
                </c:pt>
                <c:pt idx="118">
                  <c:v>81.293000000000006</c:v>
                </c:pt>
                <c:pt idx="119">
                  <c:v>81.326999999999998</c:v>
                </c:pt>
                <c:pt idx="120">
                  <c:v>81.248000000000005</c:v>
                </c:pt>
                <c:pt idx="121">
                  <c:v>81.296999999999997</c:v>
                </c:pt>
                <c:pt idx="122">
                  <c:v>81.510000000000005</c:v>
                </c:pt>
                <c:pt idx="123">
                  <c:v>81.442999999999998</c:v>
                </c:pt>
                <c:pt idx="124">
                  <c:v>81.507999999999996</c:v>
                </c:pt>
                <c:pt idx="125">
                  <c:v>80.787999999999997</c:v>
                </c:pt>
                <c:pt idx="126">
                  <c:v>80.921000000000006</c:v>
                </c:pt>
                <c:pt idx="127">
                  <c:v>81.438000000000002</c:v>
                </c:pt>
                <c:pt idx="128">
                  <c:v>81.216999999999999</c:v>
                </c:pt>
                <c:pt idx="129">
                  <c:v>81.298000000000002</c:v>
                </c:pt>
                <c:pt idx="130">
                  <c:v>80.97</c:v>
                </c:pt>
                <c:pt idx="131">
                  <c:v>81.116</c:v>
                </c:pt>
                <c:pt idx="132">
                  <c:v>81.605999999999995</c:v>
                </c:pt>
                <c:pt idx="133">
                  <c:v>81.013999999999996</c:v>
                </c:pt>
                <c:pt idx="134">
                  <c:v>81.498999999999995</c:v>
                </c:pt>
                <c:pt idx="135">
                  <c:v>81.069999999999993</c:v>
                </c:pt>
                <c:pt idx="136">
                  <c:v>81.385999999999996</c:v>
                </c:pt>
                <c:pt idx="137">
                  <c:v>81.070999999999998</c:v>
                </c:pt>
                <c:pt idx="138">
                  <c:v>81.369</c:v>
                </c:pt>
                <c:pt idx="139">
                  <c:v>81.132000000000005</c:v>
                </c:pt>
                <c:pt idx="140">
                  <c:v>81.227999999999994</c:v>
                </c:pt>
                <c:pt idx="141">
                  <c:v>80.986999999999995</c:v>
                </c:pt>
                <c:pt idx="142">
                  <c:v>81.03</c:v>
                </c:pt>
                <c:pt idx="143">
                  <c:v>81.174999999999997</c:v>
                </c:pt>
                <c:pt idx="144">
                  <c:v>81.102000000000004</c:v>
                </c:pt>
                <c:pt idx="145">
                  <c:v>81.156999999999996</c:v>
                </c:pt>
                <c:pt idx="146">
                  <c:v>81.293999999999997</c:v>
                </c:pt>
                <c:pt idx="147">
                  <c:v>81.548000000000002</c:v>
                </c:pt>
                <c:pt idx="148">
                  <c:v>81.230999999999995</c:v>
                </c:pt>
                <c:pt idx="149">
                  <c:v>81.331000000000003</c:v>
                </c:pt>
                <c:pt idx="150">
                  <c:v>80.849999999999994</c:v>
                </c:pt>
                <c:pt idx="151">
                  <c:v>80.748000000000005</c:v>
                </c:pt>
                <c:pt idx="152">
                  <c:v>81.427000000000007</c:v>
                </c:pt>
                <c:pt idx="153">
                  <c:v>80.998999999999995</c:v>
                </c:pt>
                <c:pt idx="154">
                  <c:v>80.917000000000002</c:v>
                </c:pt>
                <c:pt idx="155">
                  <c:v>80.804000000000002</c:v>
                </c:pt>
                <c:pt idx="156">
                  <c:v>80.819000000000003</c:v>
                </c:pt>
                <c:pt idx="157">
                  <c:v>81.132999999999996</c:v>
                </c:pt>
                <c:pt idx="158">
                  <c:v>81.375</c:v>
                </c:pt>
                <c:pt idx="159">
                  <c:v>80.771000000000001</c:v>
                </c:pt>
                <c:pt idx="160">
                  <c:v>81.244</c:v>
                </c:pt>
                <c:pt idx="161">
                  <c:v>80.83</c:v>
                </c:pt>
                <c:pt idx="162">
                  <c:v>81.314999999999998</c:v>
                </c:pt>
                <c:pt idx="163">
                  <c:v>81.126000000000005</c:v>
                </c:pt>
                <c:pt idx="164">
                  <c:v>80.650999999999996</c:v>
                </c:pt>
                <c:pt idx="165">
                  <c:v>81.231999999999999</c:v>
                </c:pt>
                <c:pt idx="166">
                  <c:v>80.498000000000005</c:v>
                </c:pt>
                <c:pt idx="167">
                  <c:v>81.363</c:v>
                </c:pt>
                <c:pt idx="168">
                  <c:v>81.057000000000002</c:v>
                </c:pt>
                <c:pt idx="169">
                  <c:v>80.856999999999999</c:v>
                </c:pt>
                <c:pt idx="170">
                  <c:v>81.126999999999995</c:v>
                </c:pt>
                <c:pt idx="171">
                  <c:v>80.709999999999994</c:v>
                </c:pt>
                <c:pt idx="172">
                  <c:v>81.307000000000002</c:v>
                </c:pt>
                <c:pt idx="173">
                  <c:v>80.884</c:v>
                </c:pt>
                <c:pt idx="174">
                  <c:v>81.046999999999997</c:v>
                </c:pt>
                <c:pt idx="175">
                  <c:v>81.325999999999993</c:v>
                </c:pt>
                <c:pt idx="176">
                  <c:v>81.099999999999994</c:v>
                </c:pt>
                <c:pt idx="177">
                  <c:v>81.435000000000002</c:v>
                </c:pt>
                <c:pt idx="178">
                  <c:v>81.284000000000006</c:v>
                </c:pt>
                <c:pt idx="179">
                  <c:v>81.180999999999997</c:v>
                </c:pt>
                <c:pt idx="180">
                  <c:v>81.143000000000001</c:v>
                </c:pt>
                <c:pt idx="181">
                  <c:v>81.346999999999994</c:v>
                </c:pt>
                <c:pt idx="182">
                  <c:v>81.177999999999997</c:v>
                </c:pt>
                <c:pt idx="183">
                  <c:v>81.491</c:v>
                </c:pt>
                <c:pt idx="184">
                  <c:v>81.022000000000006</c:v>
                </c:pt>
                <c:pt idx="185">
                  <c:v>81.239000000000004</c:v>
                </c:pt>
                <c:pt idx="186">
                  <c:v>81.566000000000003</c:v>
                </c:pt>
                <c:pt idx="187">
                  <c:v>81.099000000000004</c:v>
                </c:pt>
                <c:pt idx="188">
                  <c:v>81.174000000000007</c:v>
                </c:pt>
                <c:pt idx="189">
                  <c:v>81.504999999999995</c:v>
                </c:pt>
                <c:pt idx="190">
                  <c:v>81.114999999999995</c:v>
                </c:pt>
                <c:pt idx="191">
                  <c:v>81.570999999999998</c:v>
                </c:pt>
                <c:pt idx="192">
                  <c:v>81.141000000000005</c:v>
                </c:pt>
                <c:pt idx="193">
                  <c:v>81.031000000000006</c:v>
                </c:pt>
                <c:pt idx="194">
                  <c:v>81.197000000000003</c:v>
                </c:pt>
                <c:pt idx="195">
                  <c:v>81.085999999999999</c:v>
                </c:pt>
                <c:pt idx="196">
                  <c:v>81.292000000000002</c:v>
                </c:pt>
                <c:pt idx="197">
                  <c:v>81.790000000000006</c:v>
                </c:pt>
                <c:pt idx="198">
                  <c:v>81.349999999999994</c:v>
                </c:pt>
                <c:pt idx="199">
                  <c:v>81.346999999999994</c:v>
                </c:pt>
                <c:pt idx="200">
                  <c:v>81.36</c:v>
                </c:pt>
                <c:pt idx="201">
                  <c:v>81.308000000000007</c:v>
                </c:pt>
                <c:pt idx="202">
                  <c:v>81.155000000000001</c:v>
                </c:pt>
                <c:pt idx="203">
                  <c:v>80.900999999999996</c:v>
                </c:pt>
                <c:pt idx="204">
                  <c:v>80.989999999999995</c:v>
                </c:pt>
                <c:pt idx="205">
                  <c:v>81.281999999999996</c:v>
                </c:pt>
                <c:pt idx="206">
                  <c:v>81.317999999999998</c:v>
                </c:pt>
                <c:pt idx="207">
                  <c:v>81.424999999999997</c:v>
                </c:pt>
                <c:pt idx="208">
                  <c:v>81.346000000000004</c:v>
                </c:pt>
                <c:pt idx="209">
                  <c:v>81.313999999999993</c:v>
                </c:pt>
                <c:pt idx="210">
                  <c:v>81.253</c:v>
                </c:pt>
                <c:pt idx="211">
                  <c:v>81.403000000000006</c:v>
                </c:pt>
                <c:pt idx="212">
                  <c:v>80.897999999999996</c:v>
                </c:pt>
                <c:pt idx="213">
                  <c:v>81.206999999999994</c:v>
                </c:pt>
                <c:pt idx="214">
                  <c:v>81.290999999999997</c:v>
                </c:pt>
                <c:pt idx="215">
                  <c:v>81.215000000000003</c:v>
                </c:pt>
                <c:pt idx="216">
                  <c:v>81.162000000000006</c:v>
                </c:pt>
                <c:pt idx="217">
                  <c:v>81.141000000000005</c:v>
                </c:pt>
                <c:pt idx="218">
                  <c:v>81.528999999999996</c:v>
                </c:pt>
                <c:pt idx="219">
                  <c:v>81.376999999999995</c:v>
                </c:pt>
                <c:pt idx="220">
                  <c:v>81.131</c:v>
                </c:pt>
                <c:pt idx="221">
                  <c:v>81.367000000000004</c:v>
                </c:pt>
                <c:pt idx="222">
                  <c:v>81.647999999999996</c:v>
                </c:pt>
                <c:pt idx="223">
                  <c:v>81.153999999999996</c:v>
                </c:pt>
                <c:pt idx="224">
                  <c:v>81.352999999999994</c:v>
                </c:pt>
                <c:pt idx="225">
                  <c:v>80.825999999999993</c:v>
                </c:pt>
                <c:pt idx="226">
                  <c:v>81.097999999999999</c:v>
                </c:pt>
                <c:pt idx="227">
                  <c:v>81.373999999999995</c:v>
                </c:pt>
                <c:pt idx="228">
                  <c:v>81.521000000000001</c:v>
                </c:pt>
                <c:pt idx="229">
                  <c:v>81.239000000000004</c:v>
                </c:pt>
                <c:pt idx="230">
                  <c:v>81.465000000000003</c:v>
                </c:pt>
                <c:pt idx="231">
                  <c:v>81.569000000000003</c:v>
                </c:pt>
                <c:pt idx="232">
                  <c:v>82.043999999999997</c:v>
                </c:pt>
                <c:pt idx="233">
                  <c:v>81.301000000000002</c:v>
                </c:pt>
                <c:pt idx="234">
                  <c:v>81.146000000000001</c:v>
                </c:pt>
                <c:pt idx="235">
                  <c:v>81.278000000000006</c:v>
                </c:pt>
                <c:pt idx="236">
                  <c:v>81.759</c:v>
                </c:pt>
                <c:pt idx="237">
                  <c:v>81.179000000000002</c:v>
                </c:pt>
                <c:pt idx="238">
                  <c:v>81.004000000000005</c:v>
                </c:pt>
                <c:pt idx="239">
                  <c:v>80.873999999999995</c:v>
                </c:pt>
                <c:pt idx="240">
                  <c:v>81.679000000000002</c:v>
                </c:pt>
                <c:pt idx="241">
                  <c:v>81.453000000000003</c:v>
                </c:pt>
                <c:pt idx="242">
                  <c:v>80.965999999999994</c:v>
                </c:pt>
                <c:pt idx="243">
                  <c:v>80.841999999999999</c:v>
                </c:pt>
                <c:pt idx="244">
                  <c:v>81.472999999999999</c:v>
                </c:pt>
                <c:pt idx="245">
                  <c:v>81.272999999999996</c:v>
                </c:pt>
                <c:pt idx="246">
                  <c:v>81.23</c:v>
                </c:pt>
                <c:pt idx="247">
                  <c:v>81.08</c:v>
                </c:pt>
                <c:pt idx="248">
                  <c:v>81.341999999999999</c:v>
                </c:pt>
                <c:pt idx="249">
                  <c:v>81.489999999999995</c:v>
                </c:pt>
                <c:pt idx="250">
                  <c:v>81.311999999999998</c:v>
                </c:pt>
                <c:pt idx="251">
                  <c:v>80.911000000000001</c:v>
                </c:pt>
                <c:pt idx="252">
                  <c:v>81.39</c:v>
                </c:pt>
                <c:pt idx="253">
                  <c:v>81.135999999999996</c:v>
                </c:pt>
                <c:pt idx="254">
                  <c:v>81.224000000000004</c:v>
                </c:pt>
                <c:pt idx="255">
                  <c:v>81.228999999999999</c:v>
                </c:pt>
                <c:pt idx="256">
                  <c:v>80.736999999999995</c:v>
                </c:pt>
                <c:pt idx="257">
                  <c:v>81.492999999999995</c:v>
                </c:pt>
                <c:pt idx="258">
                  <c:v>81.119</c:v>
                </c:pt>
                <c:pt idx="259">
                  <c:v>81.004000000000005</c:v>
                </c:pt>
                <c:pt idx="260">
                  <c:v>81.319000000000003</c:v>
                </c:pt>
                <c:pt idx="261">
                  <c:v>81.040000000000006</c:v>
                </c:pt>
                <c:pt idx="262">
                  <c:v>80.929000000000002</c:v>
                </c:pt>
                <c:pt idx="263">
                  <c:v>81.123000000000005</c:v>
                </c:pt>
                <c:pt idx="264">
                  <c:v>80.938000000000002</c:v>
                </c:pt>
                <c:pt idx="265">
                  <c:v>81.224999999999994</c:v>
                </c:pt>
                <c:pt idx="266">
                  <c:v>81.146000000000001</c:v>
                </c:pt>
                <c:pt idx="267">
                  <c:v>80.778000000000006</c:v>
                </c:pt>
                <c:pt idx="268">
                  <c:v>81.134</c:v>
                </c:pt>
                <c:pt idx="269">
                  <c:v>81.033000000000001</c:v>
                </c:pt>
                <c:pt idx="270">
                  <c:v>80.936000000000007</c:v>
                </c:pt>
                <c:pt idx="271">
                  <c:v>81.272999999999996</c:v>
                </c:pt>
                <c:pt idx="272">
                  <c:v>81.224999999999994</c:v>
                </c:pt>
                <c:pt idx="273">
                  <c:v>81.906999999999996</c:v>
                </c:pt>
                <c:pt idx="274">
                  <c:v>81.305999999999997</c:v>
                </c:pt>
                <c:pt idx="275">
                  <c:v>81.230999999999995</c:v>
                </c:pt>
                <c:pt idx="276">
                  <c:v>80.808999999999997</c:v>
                </c:pt>
                <c:pt idx="277">
                  <c:v>80.912999999999997</c:v>
                </c:pt>
                <c:pt idx="278">
                  <c:v>81.247</c:v>
                </c:pt>
                <c:pt idx="279">
                  <c:v>80.962000000000003</c:v>
                </c:pt>
                <c:pt idx="280">
                  <c:v>81.018000000000001</c:v>
                </c:pt>
                <c:pt idx="281">
                  <c:v>81.001000000000005</c:v>
                </c:pt>
                <c:pt idx="282">
                  <c:v>81.096999999999994</c:v>
                </c:pt>
                <c:pt idx="283">
                  <c:v>80.822999999999993</c:v>
                </c:pt>
                <c:pt idx="284">
                  <c:v>80.926000000000002</c:v>
                </c:pt>
                <c:pt idx="285">
                  <c:v>80.864999999999995</c:v>
                </c:pt>
                <c:pt idx="286">
                  <c:v>80.935000000000002</c:v>
                </c:pt>
                <c:pt idx="287">
                  <c:v>80.816000000000003</c:v>
                </c:pt>
                <c:pt idx="288">
                  <c:v>81.096999999999994</c:v>
                </c:pt>
                <c:pt idx="289">
                  <c:v>80.926000000000002</c:v>
                </c:pt>
                <c:pt idx="290">
                  <c:v>81.012</c:v>
                </c:pt>
                <c:pt idx="291">
                  <c:v>81.201999999999998</c:v>
                </c:pt>
                <c:pt idx="292">
                  <c:v>81.194999999999993</c:v>
                </c:pt>
                <c:pt idx="293">
                  <c:v>80.968999999999994</c:v>
                </c:pt>
                <c:pt idx="294">
                  <c:v>81.17</c:v>
                </c:pt>
                <c:pt idx="295">
                  <c:v>80.947000000000003</c:v>
                </c:pt>
                <c:pt idx="296">
                  <c:v>81.02</c:v>
                </c:pt>
                <c:pt idx="297">
                  <c:v>81.328000000000003</c:v>
                </c:pt>
                <c:pt idx="298">
                  <c:v>80.894999999999996</c:v>
                </c:pt>
                <c:pt idx="299">
                  <c:v>81.069000000000003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83-4332-9AF3-CCEB46E38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716816"/>
        <c:axId val="644713864"/>
      </c:lineChart>
      <c:catAx>
        <c:axId val="64471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3864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64471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681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Line CD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Data!$C$3:$C$327</c:f>
              <c:numCache>
                <c:formatCode>General</c:formatCode>
                <c:ptCount val="325"/>
                <c:pt idx="0">
                  <c:v>95.391999999999996</c:v>
                </c:pt>
                <c:pt idx="1">
                  <c:v>95.47</c:v>
                </c:pt>
                <c:pt idx="2">
                  <c:v>95.421000000000006</c:v>
                </c:pt>
                <c:pt idx="3">
                  <c:v>95.325999999999993</c:v>
                </c:pt>
                <c:pt idx="4">
                  <c:v>94.921000000000006</c:v>
                </c:pt>
                <c:pt idx="5">
                  <c:v>95.254999999999995</c:v>
                </c:pt>
                <c:pt idx="6">
                  <c:v>95.248999999999995</c:v>
                </c:pt>
                <c:pt idx="7">
                  <c:v>95.266000000000005</c:v>
                </c:pt>
                <c:pt idx="8">
                  <c:v>95.248000000000005</c:v>
                </c:pt>
                <c:pt idx="9">
                  <c:v>95.436000000000007</c:v>
                </c:pt>
                <c:pt idx="10">
                  <c:v>95.427000000000007</c:v>
                </c:pt>
                <c:pt idx="11">
                  <c:v>95.096999999999994</c:v>
                </c:pt>
                <c:pt idx="12">
                  <c:v>95.314999999999998</c:v>
                </c:pt>
                <c:pt idx="13">
                  <c:v>95.289000000000001</c:v>
                </c:pt>
                <c:pt idx="14">
                  <c:v>95.302000000000007</c:v>
                </c:pt>
                <c:pt idx="15">
                  <c:v>95.239000000000004</c:v>
                </c:pt>
                <c:pt idx="16">
                  <c:v>95.363</c:v>
                </c:pt>
                <c:pt idx="17">
                  <c:v>94.986000000000004</c:v>
                </c:pt>
                <c:pt idx="18">
                  <c:v>94.966999999999999</c:v>
                </c:pt>
                <c:pt idx="19">
                  <c:v>95.114999999999995</c:v>
                </c:pt>
                <c:pt idx="20">
                  <c:v>95.385000000000005</c:v>
                </c:pt>
                <c:pt idx="21">
                  <c:v>94.98</c:v>
                </c:pt>
                <c:pt idx="22">
                  <c:v>95.049000000000007</c:v>
                </c:pt>
                <c:pt idx="23">
                  <c:v>94.894000000000005</c:v>
                </c:pt>
                <c:pt idx="24">
                  <c:v>94.924000000000007</c:v>
                </c:pt>
                <c:pt idx="25">
                  <c:v>95.185000000000002</c:v>
                </c:pt>
                <c:pt idx="26">
                  <c:v>94.915999999999997</c:v>
                </c:pt>
                <c:pt idx="27">
                  <c:v>95.054000000000002</c:v>
                </c:pt>
                <c:pt idx="28">
                  <c:v>94.603999999999999</c:v>
                </c:pt>
                <c:pt idx="29">
                  <c:v>94.896000000000001</c:v>
                </c:pt>
                <c:pt idx="30">
                  <c:v>94.632999999999996</c:v>
                </c:pt>
                <c:pt idx="31">
                  <c:v>94.706999999999994</c:v>
                </c:pt>
                <c:pt idx="32">
                  <c:v>94.76</c:v>
                </c:pt>
                <c:pt idx="33">
                  <c:v>94.819000000000003</c:v>
                </c:pt>
                <c:pt idx="34">
                  <c:v>94.593000000000004</c:v>
                </c:pt>
                <c:pt idx="35">
                  <c:v>94.930999999999997</c:v>
                </c:pt>
                <c:pt idx="36">
                  <c:v>94.972999999999999</c:v>
                </c:pt>
                <c:pt idx="37">
                  <c:v>95.063000000000002</c:v>
                </c:pt>
                <c:pt idx="38">
                  <c:v>94.899000000000001</c:v>
                </c:pt>
                <c:pt idx="39">
                  <c:v>95.156000000000006</c:v>
                </c:pt>
                <c:pt idx="40">
                  <c:v>94.878</c:v>
                </c:pt>
                <c:pt idx="41">
                  <c:v>95.018000000000001</c:v>
                </c:pt>
                <c:pt idx="42">
                  <c:v>94.775000000000006</c:v>
                </c:pt>
                <c:pt idx="43">
                  <c:v>94.899000000000001</c:v>
                </c:pt>
                <c:pt idx="44">
                  <c:v>94.656000000000006</c:v>
                </c:pt>
                <c:pt idx="45">
                  <c:v>94.754999999999995</c:v>
                </c:pt>
                <c:pt idx="46">
                  <c:v>95.034999999999997</c:v>
                </c:pt>
                <c:pt idx="47">
                  <c:v>94.649000000000001</c:v>
                </c:pt>
                <c:pt idx="48">
                  <c:v>94.924000000000007</c:v>
                </c:pt>
                <c:pt idx="49">
                  <c:v>94.685000000000002</c:v>
                </c:pt>
                <c:pt idx="50">
                  <c:v>95.034999999999997</c:v>
                </c:pt>
                <c:pt idx="51">
                  <c:v>94.683000000000007</c:v>
                </c:pt>
                <c:pt idx="52">
                  <c:v>94.447000000000003</c:v>
                </c:pt>
                <c:pt idx="53">
                  <c:v>94.894999999999996</c:v>
                </c:pt>
                <c:pt idx="54">
                  <c:v>94.867000000000004</c:v>
                </c:pt>
                <c:pt idx="55">
                  <c:v>94.817999999999998</c:v>
                </c:pt>
                <c:pt idx="56">
                  <c:v>94.566000000000003</c:v>
                </c:pt>
                <c:pt idx="57">
                  <c:v>94.644999999999996</c:v>
                </c:pt>
                <c:pt idx="58">
                  <c:v>94.671999999999997</c:v>
                </c:pt>
                <c:pt idx="59">
                  <c:v>94.650999999999996</c:v>
                </c:pt>
                <c:pt idx="60">
                  <c:v>95.111999999999995</c:v>
                </c:pt>
                <c:pt idx="61">
                  <c:v>95.058000000000007</c:v>
                </c:pt>
                <c:pt idx="62">
                  <c:v>94.677000000000007</c:v>
                </c:pt>
                <c:pt idx="63">
                  <c:v>94.885999999999996</c:v>
                </c:pt>
                <c:pt idx="64">
                  <c:v>95.013999999999996</c:v>
                </c:pt>
                <c:pt idx="65">
                  <c:v>95.05</c:v>
                </c:pt>
                <c:pt idx="66">
                  <c:v>94.760999999999996</c:v>
                </c:pt>
                <c:pt idx="67">
                  <c:v>94.676000000000002</c:v>
                </c:pt>
                <c:pt idx="68">
                  <c:v>94.385000000000005</c:v>
                </c:pt>
                <c:pt idx="69">
                  <c:v>94.873000000000005</c:v>
                </c:pt>
                <c:pt idx="70">
                  <c:v>94.781000000000006</c:v>
                </c:pt>
                <c:pt idx="71">
                  <c:v>94.82</c:v>
                </c:pt>
                <c:pt idx="72">
                  <c:v>94.774000000000001</c:v>
                </c:pt>
                <c:pt idx="73">
                  <c:v>94.918000000000006</c:v>
                </c:pt>
                <c:pt idx="74">
                  <c:v>94.784999999999997</c:v>
                </c:pt>
                <c:pt idx="75">
                  <c:v>94.828000000000003</c:v>
                </c:pt>
                <c:pt idx="76">
                  <c:v>94.004999999999995</c:v>
                </c:pt>
                <c:pt idx="77">
                  <c:v>94.763999999999996</c:v>
                </c:pt>
                <c:pt idx="78">
                  <c:v>94.593000000000004</c:v>
                </c:pt>
                <c:pt idx="79">
                  <c:v>94.801000000000002</c:v>
                </c:pt>
                <c:pt idx="80">
                  <c:v>94.528999999999996</c:v>
                </c:pt>
                <c:pt idx="81">
                  <c:v>94.161000000000001</c:v>
                </c:pt>
                <c:pt idx="82">
                  <c:v>95.055999999999997</c:v>
                </c:pt>
                <c:pt idx="83">
                  <c:v>94.801000000000002</c:v>
                </c:pt>
                <c:pt idx="84">
                  <c:v>94.831999999999994</c:v>
                </c:pt>
                <c:pt idx="85">
                  <c:v>95.156999999999996</c:v>
                </c:pt>
                <c:pt idx="86">
                  <c:v>94.753</c:v>
                </c:pt>
                <c:pt idx="87">
                  <c:v>94.927999999999997</c:v>
                </c:pt>
                <c:pt idx="88">
                  <c:v>95.156000000000006</c:v>
                </c:pt>
                <c:pt idx="89">
                  <c:v>95.097999999999999</c:v>
                </c:pt>
                <c:pt idx="90">
                  <c:v>94.730999999999995</c:v>
                </c:pt>
                <c:pt idx="91">
                  <c:v>95.158000000000001</c:v>
                </c:pt>
                <c:pt idx="92">
                  <c:v>95.326999999999998</c:v>
                </c:pt>
                <c:pt idx="93">
                  <c:v>94.668999999999997</c:v>
                </c:pt>
                <c:pt idx="94">
                  <c:v>94.305999999999997</c:v>
                </c:pt>
                <c:pt idx="95">
                  <c:v>95.072000000000003</c:v>
                </c:pt>
                <c:pt idx="96">
                  <c:v>95.575000000000003</c:v>
                </c:pt>
                <c:pt idx="97">
                  <c:v>95.34</c:v>
                </c:pt>
                <c:pt idx="98">
                  <c:v>94.501000000000005</c:v>
                </c:pt>
                <c:pt idx="99">
                  <c:v>94.046000000000006</c:v>
                </c:pt>
                <c:pt idx="100">
                  <c:v>94.721000000000004</c:v>
                </c:pt>
                <c:pt idx="101">
                  <c:v>94.744</c:v>
                </c:pt>
                <c:pt idx="102">
                  <c:v>94.33</c:v>
                </c:pt>
                <c:pt idx="103">
                  <c:v>95.006</c:v>
                </c:pt>
                <c:pt idx="104">
                  <c:v>94.617999999999995</c:v>
                </c:pt>
                <c:pt idx="105">
                  <c:v>94.849000000000004</c:v>
                </c:pt>
                <c:pt idx="106">
                  <c:v>94.522999999999996</c:v>
                </c:pt>
                <c:pt idx="107">
                  <c:v>94.680999999999997</c:v>
                </c:pt>
                <c:pt idx="108">
                  <c:v>94.281999999999996</c:v>
                </c:pt>
                <c:pt idx="109">
                  <c:v>94.805999999999997</c:v>
                </c:pt>
                <c:pt idx="110">
                  <c:v>94.653000000000006</c:v>
                </c:pt>
                <c:pt idx="111">
                  <c:v>94.88</c:v>
                </c:pt>
                <c:pt idx="112">
                  <c:v>94.814999999999998</c:v>
                </c:pt>
                <c:pt idx="113">
                  <c:v>94.906999999999996</c:v>
                </c:pt>
                <c:pt idx="114">
                  <c:v>94.5</c:v>
                </c:pt>
                <c:pt idx="115">
                  <c:v>94.510999999999996</c:v>
                </c:pt>
                <c:pt idx="116">
                  <c:v>94.71</c:v>
                </c:pt>
                <c:pt idx="117">
                  <c:v>94.405000000000001</c:v>
                </c:pt>
                <c:pt idx="118">
                  <c:v>94.682000000000002</c:v>
                </c:pt>
                <c:pt idx="119">
                  <c:v>94.557000000000002</c:v>
                </c:pt>
                <c:pt idx="120">
                  <c:v>94.853999999999999</c:v>
                </c:pt>
                <c:pt idx="121">
                  <c:v>94.513999999999996</c:v>
                </c:pt>
                <c:pt idx="122">
                  <c:v>94.326999999999998</c:v>
                </c:pt>
                <c:pt idx="123">
                  <c:v>94.734999999999999</c:v>
                </c:pt>
                <c:pt idx="124">
                  <c:v>94.566999999999993</c:v>
                </c:pt>
                <c:pt idx="125">
                  <c:v>95.361000000000004</c:v>
                </c:pt>
                <c:pt idx="126">
                  <c:v>94.850999999999999</c:v>
                </c:pt>
                <c:pt idx="127">
                  <c:v>94.652000000000001</c:v>
                </c:pt>
                <c:pt idx="128">
                  <c:v>94.87</c:v>
                </c:pt>
                <c:pt idx="129">
                  <c:v>94.73</c:v>
                </c:pt>
                <c:pt idx="130">
                  <c:v>95.146000000000001</c:v>
                </c:pt>
                <c:pt idx="131">
                  <c:v>94.825999999999993</c:v>
                </c:pt>
                <c:pt idx="132">
                  <c:v>94.477999999999994</c:v>
                </c:pt>
                <c:pt idx="133">
                  <c:v>94.724000000000004</c:v>
                </c:pt>
                <c:pt idx="134">
                  <c:v>94.813000000000002</c:v>
                </c:pt>
                <c:pt idx="135">
                  <c:v>94.578000000000003</c:v>
                </c:pt>
                <c:pt idx="136">
                  <c:v>94.584999999999994</c:v>
                </c:pt>
                <c:pt idx="137">
                  <c:v>94.811000000000007</c:v>
                </c:pt>
                <c:pt idx="138">
                  <c:v>94.796999999999997</c:v>
                </c:pt>
                <c:pt idx="139">
                  <c:v>94.8</c:v>
                </c:pt>
                <c:pt idx="140">
                  <c:v>94.668999999999997</c:v>
                </c:pt>
                <c:pt idx="141">
                  <c:v>94.882999999999996</c:v>
                </c:pt>
                <c:pt idx="142">
                  <c:v>94.837999999999994</c:v>
                </c:pt>
                <c:pt idx="143">
                  <c:v>95.049000000000007</c:v>
                </c:pt>
                <c:pt idx="144">
                  <c:v>94.93</c:v>
                </c:pt>
                <c:pt idx="145">
                  <c:v>94.44</c:v>
                </c:pt>
                <c:pt idx="146">
                  <c:v>94.775999999999996</c:v>
                </c:pt>
                <c:pt idx="147">
                  <c:v>94.703000000000003</c:v>
                </c:pt>
                <c:pt idx="148">
                  <c:v>94.572999999999993</c:v>
                </c:pt>
                <c:pt idx="149">
                  <c:v>94.828999999999994</c:v>
                </c:pt>
                <c:pt idx="150">
                  <c:v>94.722999999999999</c:v>
                </c:pt>
                <c:pt idx="151">
                  <c:v>95.227999999999994</c:v>
                </c:pt>
                <c:pt idx="152">
                  <c:v>94.879000000000005</c:v>
                </c:pt>
                <c:pt idx="153">
                  <c:v>94.617999999999995</c:v>
                </c:pt>
                <c:pt idx="154">
                  <c:v>94.906999999999996</c:v>
                </c:pt>
                <c:pt idx="155">
                  <c:v>94.820999999999998</c:v>
                </c:pt>
                <c:pt idx="156">
                  <c:v>95.527000000000001</c:v>
                </c:pt>
                <c:pt idx="157">
                  <c:v>94.745000000000005</c:v>
                </c:pt>
                <c:pt idx="158">
                  <c:v>94.497</c:v>
                </c:pt>
                <c:pt idx="159">
                  <c:v>94.858000000000004</c:v>
                </c:pt>
                <c:pt idx="160">
                  <c:v>94.653999999999996</c:v>
                </c:pt>
                <c:pt idx="161">
                  <c:v>95.501999999999995</c:v>
                </c:pt>
                <c:pt idx="162">
                  <c:v>94.908000000000001</c:v>
                </c:pt>
                <c:pt idx="163">
                  <c:v>94.778999999999996</c:v>
                </c:pt>
                <c:pt idx="164">
                  <c:v>95.009</c:v>
                </c:pt>
                <c:pt idx="165">
                  <c:v>94.611000000000004</c:v>
                </c:pt>
                <c:pt idx="166">
                  <c:v>95.751999999999995</c:v>
                </c:pt>
                <c:pt idx="167">
                  <c:v>94.82</c:v>
                </c:pt>
                <c:pt idx="168">
                  <c:v>94.593999999999994</c:v>
                </c:pt>
                <c:pt idx="169">
                  <c:v>94.745999999999995</c:v>
                </c:pt>
                <c:pt idx="170">
                  <c:v>94.42</c:v>
                </c:pt>
                <c:pt idx="171">
                  <c:v>95.343000000000004</c:v>
                </c:pt>
                <c:pt idx="172">
                  <c:v>94.811000000000007</c:v>
                </c:pt>
                <c:pt idx="173">
                  <c:v>94.983000000000004</c:v>
                </c:pt>
                <c:pt idx="174">
                  <c:v>94.557000000000002</c:v>
                </c:pt>
                <c:pt idx="175">
                  <c:v>94.793000000000006</c:v>
                </c:pt>
                <c:pt idx="176">
                  <c:v>94.929000000000002</c:v>
                </c:pt>
                <c:pt idx="177">
                  <c:v>94.460999999999999</c:v>
                </c:pt>
                <c:pt idx="178">
                  <c:v>94.96</c:v>
                </c:pt>
                <c:pt idx="179">
                  <c:v>94.941000000000003</c:v>
                </c:pt>
                <c:pt idx="180">
                  <c:v>94.757999999999996</c:v>
                </c:pt>
                <c:pt idx="181">
                  <c:v>94.563999999999993</c:v>
                </c:pt>
                <c:pt idx="182">
                  <c:v>95.06</c:v>
                </c:pt>
                <c:pt idx="183">
                  <c:v>94.596000000000004</c:v>
                </c:pt>
                <c:pt idx="184">
                  <c:v>94.941000000000003</c:v>
                </c:pt>
                <c:pt idx="185">
                  <c:v>94.86</c:v>
                </c:pt>
                <c:pt idx="186">
                  <c:v>94.504000000000005</c:v>
                </c:pt>
                <c:pt idx="187">
                  <c:v>94.858999999999995</c:v>
                </c:pt>
                <c:pt idx="188">
                  <c:v>94.733999999999995</c:v>
                </c:pt>
                <c:pt idx="189">
                  <c:v>94.78</c:v>
                </c:pt>
                <c:pt idx="190">
                  <c:v>94.947000000000003</c:v>
                </c:pt>
                <c:pt idx="191">
                  <c:v>94.623999999999995</c:v>
                </c:pt>
                <c:pt idx="192">
                  <c:v>95.022999999999996</c:v>
                </c:pt>
                <c:pt idx="193">
                  <c:v>94.673000000000002</c:v>
                </c:pt>
                <c:pt idx="194">
                  <c:v>94.766999999999996</c:v>
                </c:pt>
                <c:pt idx="195">
                  <c:v>94.768000000000001</c:v>
                </c:pt>
                <c:pt idx="196">
                  <c:v>94.411000000000001</c:v>
                </c:pt>
                <c:pt idx="197">
                  <c:v>94.13</c:v>
                </c:pt>
                <c:pt idx="198">
                  <c:v>94.495999999999995</c:v>
                </c:pt>
                <c:pt idx="199">
                  <c:v>94.519000000000005</c:v>
                </c:pt>
                <c:pt idx="200">
                  <c:v>94.76</c:v>
                </c:pt>
                <c:pt idx="201">
                  <c:v>94.858999999999995</c:v>
                </c:pt>
                <c:pt idx="202">
                  <c:v>94.951999999999998</c:v>
                </c:pt>
                <c:pt idx="203">
                  <c:v>94.924999999999997</c:v>
                </c:pt>
                <c:pt idx="204">
                  <c:v>94.849000000000004</c:v>
                </c:pt>
                <c:pt idx="205">
                  <c:v>94.802000000000007</c:v>
                </c:pt>
                <c:pt idx="206">
                  <c:v>94.692999999999998</c:v>
                </c:pt>
                <c:pt idx="207">
                  <c:v>94.861000000000004</c:v>
                </c:pt>
                <c:pt idx="208">
                  <c:v>94.632000000000005</c:v>
                </c:pt>
                <c:pt idx="209">
                  <c:v>94.603999999999999</c:v>
                </c:pt>
                <c:pt idx="210">
                  <c:v>94.733999999999995</c:v>
                </c:pt>
                <c:pt idx="211">
                  <c:v>94.78</c:v>
                </c:pt>
                <c:pt idx="212">
                  <c:v>95.18</c:v>
                </c:pt>
                <c:pt idx="213">
                  <c:v>95.11</c:v>
                </c:pt>
                <c:pt idx="214">
                  <c:v>94.71</c:v>
                </c:pt>
                <c:pt idx="215">
                  <c:v>94.918999999999997</c:v>
                </c:pt>
                <c:pt idx="216">
                  <c:v>94.843000000000004</c:v>
                </c:pt>
                <c:pt idx="217">
                  <c:v>95.01</c:v>
                </c:pt>
                <c:pt idx="218">
                  <c:v>94.625</c:v>
                </c:pt>
                <c:pt idx="219">
                  <c:v>94.986999999999995</c:v>
                </c:pt>
                <c:pt idx="220">
                  <c:v>94.23</c:v>
                </c:pt>
                <c:pt idx="221">
                  <c:v>94.634</c:v>
                </c:pt>
                <c:pt idx="222">
                  <c:v>94.552999999999997</c:v>
                </c:pt>
                <c:pt idx="223">
                  <c:v>94.962000000000003</c:v>
                </c:pt>
                <c:pt idx="224">
                  <c:v>95.144000000000005</c:v>
                </c:pt>
                <c:pt idx="225">
                  <c:v>95.197999999999993</c:v>
                </c:pt>
                <c:pt idx="226">
                  <c:v>94.959000000000003</c:v>
                </c:pt>
                <c:pt idx="227">
                  <c:v>94.643000000000001</c:v>
                </c:pt>
                <c:pt idx="228">
                  <c:v>94.703999999999994</c:v>
                </c:pt>
                <c:pt idx="229">
                  <c:v>94.971000000000004</c:v>
                </c:pt>
                <c:pt idx="230">
                  <c:v>94.528999999999996</c:v>
                </c:pt>
                <c:pt idx="231">
                  <c:v>94.254000000000005</c:v>
                </c:pt>
                <c:pt idx="232">
                  <c:v>94.224000000000004</c:v>
                </c:pt>
                <c:pt idx="233">
                  <c:v>94.646000000000001</c:v>
                </c:pt>
                <c:pt idx="234">
                  <c:v>94.962999999999994</c:v>
                </c:pt>
                <c:pt idx="235">
                  <c:v>94.600999999999999</c:v>
                </c:pt>
                <c:pt idx="236">
                  <c:v>94.245999999999995</c:v>
                </c:pt>
                <c:pt idx="237">
                  <c:v>94.787000000000006</c:v>
                </c:pt>
                <c:pt idx="238">
                  <c:v>94.91</c:v>
                </c:pt>
                <c:pt idx="239">
                  <c:v>94.774000000000001</c:v>
                </c:pt>
                <c:pt idx="240">
                  <c:v>94.382000000000005</c:v>
                </c:pt>
                <c:pt idx="241">
                  <c:v>94.356999999999999</c:v>
                </c:pt>
                <c:pt idx="242">
                  <c:v>94.597999999999999</c:v>
                </c:pt>
                <c:pt idx="243">
                  <c:v>95.108999999999995</c:v>
                </c:pt>
                <c:pt idx="244">
                  <c:v>94.393000000000001</c:v>
                </c:pt>
                <c:pt idx="245">
                  <c:v>94.558999999999997</c:v>
                </c:pt>
                <c:pt idx="246">
                  <c:v>94.460999999999999</c:v>
                </c:pt>
                <c:pt idx="247">
                  <c:v>94.899000000000001</c:v>
                </c:pt>
                <c:pt idx="248">
                  <c:v>94.454999999999998</c:v>
                </c:pt>
                <c:pt idx="249">
                  <c:v>94.566000000000003</c:v>
                </c:pt>
                <c:pt idx="250">
                  <c:v>94.906000000000006</c:v>
                </c:pt>
                <c:pt idx="251">
                  <c:v>95.013999999999996</c:v>
                </c:pt>
                <c:pt idx="252">
                  <c:v>94.703999999999994</c:v>
                </c:pt>
                <c:pt idx="253">
                  <c:v>94.942999999999998</c:v>
                </c:pt>
                <c:pt idx="254">
                  <c:v>94.867999999999995</c:v>
                </c:pt>
                <c:pt idx="255">
                  <c:v>94.796000000000006</c:v>
                </c:pt>
                <c:pt idx="256">
                  <c:v>95.031000000000006</c:v>
                </c:pt>
                <c:pt idx="257">
                  <c:v>94.537000000000006</c:v>
                </c:pt>
                <c:pt idx="258">
                  <c:v>94.591999999999999</c:v>
                </c:pt>
                <c:pt idx="259">
                  <c:v>95.168000000000006</c:v>
                </c:pt>
                <c:pt idx="260">
                  <c:v>94.671999999999997</c:v>
                </c:pt>
                <c:pt idx="261">
                  <c:v>94.968999999999994</c:v>
                </c:pt>
                <c:pt idx="262">
                  <c:v>95.05</c:v>
                </c:pt>
                <c:pt idx="263">
                  <c:v>94.98</c:v>
                </c:pt>
                <c:pt idx="264">
                  <c:v>95.366</c:v>
                </c:pt>
                <c:pt idx="265">
                  <c:v>94.510999999999996</c:v>
                </c:pt>
                <c:pt idx="266">
                  <c:v>94.911000000000001</c:v>
                </c:pt>
                <c:pt idx="267">
                  <c:v>95.182000000000002</c:v>
                </c:pt>
                <c:pt idx="268">
                  <c:v>94.664000000000001</c:v>
                </c:pt>
                <c:pt idx="269">
                  <c:v>94.790999999999997</c:v>
                </c:pt>
                <c:pt idx="270">
                  <c:v>94.784000000000006</c:v>
                </c:pt>
                <c:pt idx="271">
                  <c:v>94.703999999999994</c:v>
                </c:pt>
                <c:pt idx="272">
                  <c:v>94.554000000000002</c:v>
                </c:pt>
                <c:pt idx="273">
                  <c:v>94.497</c:v>
                </c:pt>
                <c:pt idx="274">
                  <c:v>94.465999999999994</c:v>
                </c:pt>
                <c:pt idx="275">
                  <c:v>95.260999999999996</c:v>
                </c:pt>
                <c:pt idx="276">
                  <c:v>95.078000000000003</c:v>
                </c:pt>
                <c:pt idx="277">
                  <c:v>95.534000000000006</c:v>
                </c:pt>
                <c:pt idx="278">
                  <c:v>94.953999999999994</c:v>
                </c:pt>
                <c:pt idx="279">
                  <c:v>95.253</c:v>
                </c:pt>
                <c:pt idx="280">
                  <c:v>94.978999999999999</c:v>
                </c:pt>
                <c:pt idx="281">
                  <c:v>95.03</c:v>
                </c:pt>
                <c:pt idx="282">
                  <c:v>95.144999999999996</c:v>
                </c:pt>
                <c:pt idx="283">
                  <c:v>95.051000000000002</c:v>
                </c:pt>
                <c:pt idx="284">
                  <c:v>95</c:v>
                </c:pt>
                <c:pt idx="285">
                  <c:v>95.009</c:v>
                </c:pt>
                <c:pt idx="286">
                  <c:v>94.971999999999994</c:v>
                </c:pt>
                <c:pt idx="287">
                  <c:v>95.087999999999994</c:v>
                </c:pt>
                <c:pt idx="288">
                  <c:v>94.653000000000006</c:v>
                </c:pt>
                <c:pt idx="289">
                  <c:v>94.936999999999998</c:v>
                </c:pt>
                <c:pt idx="290">
                  <c:v>94.923000000000002</c:v>
                </c:pt>
                <c:pt idx="291">
                  <c:v>94.602999999999994</c:v>
                </c:pt>
                <c:pt idx="292">
                  <c:v>94.698999999999998</c:v>
                </c:pt>
                <c:pt idx="293">
                  <c:v>95.070999999999998</c:v>
                </c:pt>
                <c:pt idx="294">
                  <c:v>94.986000000000004</c:v>
                </c:pt>
                <c:pt idx="295">
                  <c:v>94.918000000000006</c:v>
                </c:pt>
                <c:pt idx="296">
                  <c:v>94.872</c:v>
                </c:pt>
                <c:pt idx="297">
                  <c:v>94.606999999999999</c:v>
                </c:pt>
                <c:pt idx="298">
                  <c:v>94.941000000000003</c:v>
                </c:pt>
                <c:pt idx="299">
                  <c:v>95.036000000000001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2A-493E-BF02-0B831B0FD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716816"/>
        <c:axId val="644713864"/>
      </c:lineChart>
      <c:catAx>
        <c:axId val="64471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3864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64471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681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Pitch CD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Data!$D$3:$D$327</c:f>
              <c:numCache>
                <c:formatCode>General</c:formatCode>
                <c:ptCount val="325"/>
                <c:pt idx="0">
                  <c:v>176.136</c:v>
                </c:pt>
                <c:pt idx="1">
                  <c:v>176.44499999999999</c:v>
                </c:pt>
                <c:pt idx="2">
                  <c:v>176.114</c:v>
                </c:pt>
                <c:pt idx="3">
                  <c:v>176.03899999999999</c:v>
                </c:pt>
                <c:pt idx="4">
                  <c:v>175.881</c:v>
                </c:pt>
                <c:pt idx="5">
                  <c:v>176.41</c:v>
                </c:pt>
                <c:pt idx="6">
                  <c:v>176.50899999999999</c:v>
                </c:pt>
                <c:pt idx="7">
                  <c:v>176.21700000000001</c:v>
                </c:pt>
                <c:pt idx="8">
                  <c:v>176.23599999999999</c:v>
                </c:pt>
                <c:pt idx="9">
                  <c:v>176.279</c:v>
                </c:pt>
                <c:pt idx="10">
                  <c:v>175.988</c:v>
                </c:pt>
                <c:pt idx="11">
                  <c:v>176.04400000000001</c:v>
                </c:pt>
                <c:pt idx="12">
                  <c:v>175.935</c:v>
                </c:pt>
                <c:pt idx="13">
                  <c:v>175.904</c:v>
                </c:pt>
                <c:pt idx="14">
                  <c:v>176.09299999999999</c:v>
                </c:pt>
                <c:pt idx="15">
                  <c:v>176.27099999999999</c:v>
                </c:pt>
                <c:pt idx="16">
                  <c:v>176.21199999999999</c:v>
                </c:pt>
                <c:pt idx="17">
                  <c:v>176.262</c:v>
                </c:pt>
                <c:pt idx="18">
                  <c:v>176.31399999999999</c:v>
                </c:pt>
                <c:pt idx="19">
                  <c:v>176.125</c:v>
                </c:pt>
                <c:pt idx="20">
                  <c:v>175.696</c:v>
                </c:pt>
                <c:pt idx="21">
                  <c:v>176.07400000000001</c:v>
                </c:pt>
                <c:pt idx="22">
                  <c:v>176.13</c:v>
                </c:pt>
                <c:pt idx="23">
                  <c:v>176.23400000000001</c:v>
                </c:pt>
                <c:pt idx="24">
                  <c:v>176.017</c:v>
                </c:pt>
                <c:pt idx="25">
                  <c:v>176.422</c:v>
                </c:pt>
                <c:pt idx="26">
                  <c:v>176.01900000000001</c:v>
                </c:pt>
                <c:pt idx="27">
                  <c:v>175.93700000000001</c:v>
                </c:pt>
                <c:pt idx="28">
                  <c:v>175.84399999999999</c:v>
                </c:pt>
                <c:pt idx="29">
                  <c:v>176.203</c:v>
                </c:pt>
                <c:pt idx="30">
                  <c:v>175.73</c:v>
                </c:pt>
                <c:pt idx="31">
                  <c:v>176.07499999999999</c:v>
                </c:pt>
                <c:pt idx="32">
                  <c:v>175.97399999999999</c:v>
                </c:pt>
                <c:pt idx="33">
                  <c:v>175.89099999999999</c:v>
                </c:pt>
                <c:pt idx="34">
                  <c:v>175.745</c:v>
                </c:pt>
                <c:pt idx="35">
                  <c:v>175.98400000000001</c:v>
                </c:pt>
                <c:pt idx="36">
                  <c:v>175.95500000000001</c:v>
                </c:pt>
                <c:pt idx="37">
                  <c:v>175.73400000000001</c:v>
                </c:pt>
                <c:pt idx="38">
                  <c:v>176.04900000000001</c:v>
                </c:pt>
                <c:pt idx="39">
                  <c:v>176.42</c:v>
                </c:pt>
                <c:pt idx="40">
                  <c:v>175.846</c:v>
                </c:pt>
                <c:pt idx="41">
                  <c:v>176.24199999999999</c:v>
                </c:pt>
                <c:pt idx="42">
                  <c:v>176.01900000000001</c:v>
                </c:pt>
                <c:pt idx="43">
                  <c:v>176.04400000000001</c:v>
                </c:pt>
                <c:pt idx="44">
                  <c:v>175.72</c:v>
                </c:pt>
                <c:pt idx="45">
                  <c:v>176.065</c:v>
                </c:pt>
                <c:pt idx="46">
                  <c:v>176.42</c:v>
                </c:pt>
                <c:pt idx="47">
                  <c:v>175.77099999999999</c:v>
                </c:pt>
                <c:pt idx="48">
                  <c:v>175.90700000000001</c:v>
                </c:pt>
                <c:pt idx="49">
                  <c:v>175.89400000000001</c:v>
                </c:pt>
                <c:pt idx="50">
                  <c:v>176.31</c:v>
                </c:pt>
                <c:pt idx="51">
                  <c:v>176.06</c:v>
                </c:pt>
                <c:pt idx="52">
                  <c:v>175.79400000000001</c:v>
                </c:pt>
                <c:pt idx="53">
                  <c:v>176.149</c:v>
                </c:pt>
                <c:pt idx="54">
                  <c:v>176.185</c:v>
                </c:pt>
                <c:pt idx="55">
                  <c:v>175.87700000000001</c:v>
                </c:pt>
                <c:pt idx="56">
                  <c:v>175.952</c:v>
                </c:pt>
                <c:pt idx="57">
                  <c:v>175.94499999999999</c:v>
                </c:pt>
                <c:pt idx="58">
                  <c:v>175.827</c:v>
                </c:pt>
                <c:pt idx="59">
                  <c:v>175.84100000000001</c:v>
                </c:pt>
                <c:pt idx="60">
                  <c:v>176.32499999999999</c:v>
                </c:pt>
                <c:pt idx="61">
                  <c:v>176.191</c:v>
                </c:pt>
                <c:pt idx="62">
                  <c:v>176.024</c:v>
                </c:pt>
                <c:pt idx="63">
                  <c:v>176.04599999999999</c:v>
                </c:pt>
                <c:pt idx="64">
                  <c:v>176.10900000000001</c:v>
                </c:pt>
                <c:pt idx="65">
                  <c:v>176.04900000000001</c:v>
                </c:pt>
                <c:pt idx="66">
                  <c:v>175.98400000000001</c:v>
                </c:pt>
                <c:pt idx="67">
                  <c:v>175.952</c:v>
                </c:pt>
                <c:pt idx="68">
                  <c:v>175.798</c:v>
                </c:pt>
                <c:pt idx="69">
                  <c:v>175.77699999999999</c:v>
                </c:pt>
                <c:pt idx="70">
                  <c:v>176.185</c:v>
                </c:pt>
                <c:pt idx="71">
                  <c:v>176.11799999999999</c:v>
                </c:pt>
                <c:pt idx="72">
                  <c:v>176.04499999999999</c:v>
                </c:pt>
                <c:pt idx="73">
                  <c:v>176.23599999999999</c:v>
                </c:pt>
                <c:pt idx="74">
                  <c:v>176.15199999999999</c:v>
                </c:pt>
                <c:pt idx="75">
                  <c:v>175.93199999999999</c:v>
                </c:pt>
                <c:pt idx="76">
                  <c:v>175.81200000000001</c:v>
                </c:pt>
                <c:pt idx="77">
                  <c:v>175.84899999999999</c:v>
                </c:pt>
                <c:pt idx="78">
                  <c:v>175.762</c:v>
                </c:pt>
                <c:pt idx="79">
                  <c:v>176.23099999999999</c:v>
                </c:pt>
                <c:pt idx="80">
                  <c:v>175.77199999999999</c:v>
                </c:pt>
                <c:pt idx="81">
                  <c:v>176.02</c:v>
                </c:pt>
                <c:pt idx="82">
                  <c:v>176.05099999999999</c:v>
                </c:pt>
                <c:pt idx="83">
                  <c:v>176.21700000000001</c:v>
                </c:pt>
                <c:pt idx="84">
                  <c:v>176.14500000000001</c:v>
                </c:pt>
                <c:pt idx="85">
                  <c:v>176.10599999999999</c:v>
                </c:pt>
                <c:pt idx="86">
                  <c:v>176.00399999999999</c:v>
                </c:pt>
                <c:pt idx="87">
                  <c:v>175.917</c:v>
                </c:pt>
                <c:pt idx="88">
                  <c:v>175.90100000000001</c:v>
                </c:pt>
                <c:pt idx="89">
                  <c:v>175.93799999999999</c:v>
                </c:pt>
                <c:pt idx="90">
                  <c:v>175.86</c:v>
                </c:pt>
                <c:pt idx="91">
                  <c:v>175.935</c:v>
                </c:pt>
                <c:pt idx="92">
                  <c:v>175.89</c:v>
                </c:pt>
                <c:pt idx="93">
                  <c:v>175.983</c:v>
                </c:pt>
                <c:pt idx="94">
                  <c:v>175.67500000000001</c:v>
                </c:pt>
                <c:pt idx="95">
                  <c:v>176.482</c:v>
                </c:pt>
                <c:pt idx="96">
                  <c:v>176.45099999999999</c:v>
                </c:pt>
                <c:pt idx="97">
                  <c:v>176.27699999999999</c:v>
                </c:pt>
                <c:pt idx="98">
                  <c:v>175.76300000000001</c:v>
                </c:pt>
                <c:pt idx="99">
                  <c:v>175.98599999999999</c:v>
                </c:pt>
                <c:pt idx="100">
                  <c:v>175.90600000000001</c:v>
                </c:pt>
                <c:pt idx="101">
                  <c:v>175.923</c:v>
                </c:pt>
                <c:pt idx="102">
                  <c:v>175.66399999999999</c:v>
                </c:pt>
                <c:pt idx="103">
                  <c:v>176.18799999999999</c:v>
                </c:pt>
                <c:pt idx="104">
                  <c:v>175.62200000000001</c:v>
                </c:pt>
                <c:pt idx="105">
                  <c:v>176.05699999999999</c:v>
                </c:pt>
                <c:pt idx="106">
                  <c:v>175.851</c:v>
                </c:pt>
                <c:pt idx="107">
                  <c:v>175.779</c:v>
                </c:pt>
                <c:pt idx="108">
                  <c:v>175.9</c:v>
                </c:pt>
                <c:pt idx="109">
                  <c:v>176.071</c:v>
                </c:pt>
                <c:pt idx="110">
                  <c:v>176.05</c:v>
                </c:pt>
                <c:pt idx="111">
                  <c:v>176.13300000000001</c:v>
                </c:pt>
                <c:pt idx="112">
                  <c:v>176.2</c:v>
                </c:pt>
                <c:pt idx="113">
                  <c:v>175.82300000000001</c:v>
                </c:pt>
                <c:pt idx="114">
                  <c:v>175.565</c:v>
                </c:pt>
                <c:pt idx="115">
                  <c:v>175.89400000000001</c:v>
                </c:pt>
                <c:pt idx="116">
                  <c:v>175.75</c:v>
                </c:pt>
                <c:pt idx="117">
                  <c:v>175.66300000000001</c:v>
                </c:pt>
                <c:pt idx="118">
                  <c:v>175.97</c:v>
                </c:pt>
                <c:pt idx="119">
                  <c:v>175.934</c:v>
                </c:pt>
                <c:pt idx="120">
                  <c:v>176.148</c:v>
                </c:pt>
                <c:pt idx="121">
                  <c:v>175.78399999999999</c:v>
                </c:pt>
                <c:pt idx="122">
                  <c:v>175.839</c:v>
                </c:pt>
                <c:pt idx="123">
                  <c:v>176.18100000000001</c:v>
                </c:pt>
                <c:pt idx="124">
                  <c:v>176.059</c:v>
                </c:pt>
                <c:pt idx="125">
                  <c:v>176.15799999999999</c:v>
                </c:pt>
                <c:pt idx="126">
                  <c:v>175.79400000000001</c:v>
                </c:pt>
                <c:pt idx="127">
                  <c:v>176.06200000000001</c:v>
                </c:pt>
                <c:pt idx="128">
                  <c:v>176.08699999999999</c:v>
                </c:pt>
                <c:pt idx="129">
                  <c:v>176.172</c:v>
                </c:pt>
                <c:pt idx="130">
                  <c:v>176.11199999999999</c:v>
                </c:pt>
                <c:pt idx="131">
                  <c:v>176</c:v>
                </c:pt>
                <c:pt idx="132">
                  <c:v>176.15799999999999</c:v>
                </c:pt>
                <c:pt idx="133">
                  <c:v>175.744</c:v>
                </c:pt>
                <c:pt idx="134">
                  <c:v>176.34399999999999</c:v>
                </c:pt>
                <c:pt idx="135">
                  <c:v>175.702</c:v>
                </c:pt>
                <c:pt idx="136">
                  <c:v>175.934</c:v>
                </c:pt>
                <c:pt idx="137">
                  <c:v>175.815</c:v>
                </c:pt>
                <c:pt idx="138">
                  <c:v>176.15</c:v>
                </c:pt>
                <c:pt idx="139">
                  <c:v>175.93100000000001</c:v>
                </c:pt>
                <c:pt idx="140">
                  <c:v>175.95</c:v>
                </c:pt>
                <c:pt idx="141">
                  <c:v>175.87899999999999</c:v>
                </c:pt>
                <c:pt idx="142">
                  <c:v>175.89500000000001</c:v>
                </c:pt>
                <c:pt idx="143">
                  <c:v>176.24100000000001</c:v>
                </c:pt>
                <c:pt idx="144">
                  <c:v>176.01400000000001</c:v>
                </c:pt>
                <c:pt idx="145">
                  <c:v>175.68899999999999</c:v>
                </c:pt>
                <c:pt idx="146">
                  <c:v>176.03200000000001</c:v>
                </c:pt>
                <c:pt idx="147">
                  <c:v>176.19399999999999</c:v>
                </c:pt>
                <c:pt idx="148">
                  <c:v>175.78100000000001</c:v>
                </c:pt>
                <c:pt idx="149">
                  <c:v>176.149</c:v>
                </c:pt>
                <c:pt idx="150">
                  <c:v>175.58799999999999</c:v>
                </c:pt>
                <c:pt idx="151">
                  <c:v>176.054</c:v>
                </c:pt>
                <c:pt idx="152">
                  <c:v>176.36699999999999</c:v>
                </c:pt>
                <c:pt idx="153">
                  <c:v>175.68299999999999</c:v>
                </c:pt>
                <c:pt idx="154">
                  <c:v>175.81100000000001</c:v>
                </c:pt>
                <c:pt idx="155">
                  <c:v>175.643</c:v>
                </c:pt>
                <c:pt idx="156">
                  <c:v>176.381</c:v>
                </c:pt>
                <c:pt idx="157">
                  <c:v>175.91499999999999</c:v>
                </c:pt>
                <c:pt idx="158">
                  <c:v>175.80799999999999</c:v>
                </c:pt>
                <c:pt idx="159">
                  <c:v>175.595</c:v>
                </c:pt>
                <c:pt idx="160">
                  <c:v>175.91800000000001</c:v>
                </c:pt>
                <c:pt idx="161">
                  <c:v>176.31800000000001</c:v>
                </c:pt>
                <c:pt idx="162">
                  <c:v>176.21600000000001</c:v>
                </c:pt>
                <c:pt idx="163">
                  <c:v>175.96100000000001</c:v>
                </c:pt>
                <c:pt idx="164">
                  <c:v>175.63</c:v>
                </c:pt>
                <c:pt idx="165">
                  <c:v>175.83699999999999</c:v>
                </c:pt>
                <c:pt idx="166">
                  <c:v>176.333</c:v>
                </c:pt>
                <c:pt idx="167">
                  <c:v>176.20400000000001</c:v>
                </c:pt>
                <c:pt idx="168">
                  <c:v>175.559</c:v>
                </c:pt>
                <c:pt idx="169">
                  <c:v>175.55199999999999</c:v>
                </c:pt>
                <c:pt idx="170">
                  <c:v>175.60400000000001</c:v>
                </c:pt>
                <c:pt idx="171">
                  <c:v>176.03299999999999</c:v>
                </c:pt>
                <c:pt idx="172">
                  <c:v>176.107</c:v>
                </c:pt>
                <c:pt idx="173">
                  <c:v>175.863</c:v>
                </c:pt>
                <c:pt idx="174">
                  <c:v>175.51300000000001</c:v>
                </c:pt>
                <c:pt idx="175">
                  <c:v>176.209</c:v>
                </c:pt>
                <c:pt idx="176">
                  <c:v>176.06299999999999</c:v>
                </c:pt>
                <c:pt idx="177">
                  <c:v>175.91200000000001</c:v>
                </c:pt>
                <c:pt idx="178">
                  <c:v>176.21899999999999</c:v>
                </c:pt>
                <c:pt idx="179">
                  <c:v>176.07</c:v>
                </c:pt>
                <c:pt idx="180">
                  <c:v>175.946</c:v>
                </c:pt>
                <c:pt idx="181">
                  <c:v>176.048</c:v>
                </c:pt>
                <c:pt idx="182">
                  <c:v>176.184</c:v>
                </c:pt>
                <c:pt idx="183">
                  <c:v>176.09</c:v>
                </c:pt>
                <c:pt idx="184">
                  <c:v>175.935</c:v>
                </c:pt>
                <c:pt idx="185">
                  <c:v>176.06</c:v>
                </c:pt>
                <c:pt idx="186">
                  <c:v>176.05500000000001</c:v>
                </c:pt>
                <c:pt idx="187">
                  <c:v>175.96600000000001</c:v>
                </c:pt>
                <c:pt idx="188">
                  <c:v>176.018</c:v>
                </c:pt>
                <c:pt idx="189">
                  <c:v>176.346</c:v>
                </c:pt>
                <c:pt idx="190">
                  <c:v>176.04900000000001</c:v>
                </c:pt>
                <c:pt idx="191">
                  <c:v>176.18799999999999</c:v>
                </c:pt>
                <c:pt idx="192">
                  <c:v>176.09100000000001</c:v>
                </c:pt>
                <c:pt idx="193">
                  <c:v>175.751</c:v>
                </c:pt>
                <c:pt idx="194">
                  <c:v>175.91900000000001</c:v>
                </c:pt>
                <c:pt idx="195">
                  <c:v>175.875</c:v>
                </c:pt>
                <c:pt idx="196">
                  <c:v>175.80799999999999</c:v>
                </c:pt>
                <c:pt idx="197">
                  <c:v>175.95500000000001</c:v>
                </c:pt>
                <c:pt idx="198">
                  <c:v>175.91200000000001</c:v>
                </c:pt>
                <c:pt idx="199">
                  <c:v>175.84100000000001</c:v>
                </c:pt>
                <c:pt idx="200">
                  <c:v>176.19900000000001</c:v>
                </c:pt>
                <c:pt idx="201">
                  <c:v>176.108</c:v>
                </c:pt>
                <c:pt idx="202">
                  <c:v>176.113</c:v>
                </c:pt>
                <c:pt idx="203">
                  <c:v>175.803</c:v>
                </c:pt>
                <c:pt idx="204">
                  <c:v>175.92599999999999</c:v>
                </c:pt>
                <c:pt idx="205">
                  <c:v>176.14099999999999</c:v>
                </c:pt>
                <c:pt idx="206">
                  <c:v>175.93299999999999</c:v>
                </c:pt>
                <c:pt idx="207">
                  <c:v>176.27699999999999</c:v>
                </c:pt>
                <c:pt idx="208">
                  <c:v>175.94300000000001</c:v>
                </c:pt>
                <c:pt idx="209">
                  <c:v>175.923</c:v>
                </c:pt>
                <c:pt idx="210">
                  <c:v>175.99799999999999</c:v>
                </c:pt>
                <c:pt idx="211">
                  <c:v>176.19200000000001</c:v>
                </c:pt>
                <c:pt idx="212">
                  <c:v>176.03200000000001</c:v>
                </c:pt>
                <c:pt idx="213">
                  <c:v>176.32300000000001</c:v>
                </c:pt>
                <c:pt idx="214">
                  <c:v>176.053</c:v>
                </c:pt>
                <c:pt idx="215">
                  <c:v>176.15199999999999</c:v>
                </c:pt>
                <c:pt idx="216">
                  <c:v>175.89400000000001</c:v>
                </c:pt>
                <c:pt idx="217">
                  <c:v>176.13900000000001</c:v>
                </c:pt>
                <c:pt idx="218">
                  <c:v>176.19</c:v>
                </c:pt>
                <c:pt idx="219">
                  <c:v>176.292</c:v>
                </c:pt>
                <c:pt idx="220">
                  <c:v>175.374</c:v>
                </c:pt>
                <c:pt idx="221">
                  <c:v>176.095</c:v>
                </c:pt>
                <c:pt idx="222">
                  <c:v>176.291</c:v>
                </c:pt>
                <c:pt idx="223">
                  <c:v>176.17599999999999</c:v>
                </c:pt>
                <c:pt idx="224">
                  <c:v>176.49100000000001</c:v>
                </c:pt>
                <c:pt idx="225">
                  <c:v>176.00200000000001</c:v>
                </c:pt>
                <c:pt idx="226">
                  <c:v>176.114</c:v>
                </c:pt>
                <c:pt idx="227">
                  <c:v>175.999</c:v>
                </c:pt>
                <c:pt idx="228">
                  <c:v>176.22399999999999</c:v>
                </c:pt>
                <c:pt idx="229">
                  <c:v>176.209</c:v>
                </c:pt>
                <c:pt idx="230">
                  <c:v>175.98400000000001</c:v>
                </c:pt>
                <c:pt idx="231">
                  <c:v>175.839</c:v>
                </c:pt>
                <c:pt idx="232">
                  <c:v>176.285</c:v>
                </c:pt>
                <c:pt idx="233">
                  <c:v>175.905</c:v>
                </c:pt>
                <c:pt idx="234">
                  <c:v>176.047</c:v>
                </c:pt>
                <c:pt idx="235">
                  <c:v>175.93700000000001</c:v>
                </c:pt>
                <c:pt idx="236">
                  <c:v>175.95599999999999</c:v>
                </c:pt>
                <c:pt idx="237">
                  <c:v>175.93799999999999</c:v>
                </c:pt>
                <c:pt idx="238">
                  <c:v>175.92</c:v>
                </c:pt>
                <c:pt idx="239">
                  <c:v>175.65299999999999</c:v>
                </c:pt>
                <c:pt idx="240">
                  <c:v>176.09299999999999</c:v>
                </c:pt>
                <c:pt idx="241">
                  <c:v>175.846</c:v>
                </c:pt>
                <c:pt idx="242">
                  <c:v>175.56100000000001</c:v>
                </c:pt>
                <c:pt idx="243">
                  <c:v>175.869</c:v>
                </c:pt>
                <c:pt idx="244">
                  <c:v>175.876</c:v>
                </c:pt>
                <c:pt idx="245">
                  <c:v>175.90799999999999</c:v>
                </c:pt>
                <c:pt idx="246">
                  <c:v>175.74</c:v>
                </c:pt>
                <c:pt idx="247">
                  <c:v>175.95099999999999</c:v>
                </c:pt>
                <c:pt idx="248">
                  <c:v>175.809</c:v>
                </c:pt>
                <c:pt idx="249">
                  <c:v>176.05799999999999</c:v>
                </c:pt>
                <c:pt idx="250">
                  <c:v>176.221</c:v>
                </c:pt>
                <c:pt idx="251">
                  <c:v>175.96799999999999</c:v>
                </c:pt>
                <c:pt idx="252">
                  <c:v>176.12899999999999</c:v>
                </c:pt>
                <c:pt idx="253">
                  <c:v>176.06200000000001</c:v>
                </c:pt>
                <c:pt idx="254">
                  <c:v>176.12</c:v>
                </c:pt>
                <c:pt idx="255">
                  <c:v>176.05799999999999</c:v>
                </c:pt>
                <c:pt idx="256">
                  <c:v>175.79</c:v>
                </c:pt>
                <c:pt idx="257">
                  <c:v>176.036</c:v>
                </c:pt>
                <c:pt idx="258">
                  <c:v>175.63499999999999</c:v>
                </c:pt>
                <c:pt idx="259">
                  <c:v>176.226</c:v>
                </c:pt>
                <c:pt idx="260">
                  <c:v>176.047</c:v>
                </c:pt>
                <c:pt idx="261">
                  <c:v>176.03399999999999</c:v>
                </c:pt>
                <c:pt idx="262">
                  <c:v>175.95099999999999</c:v>
                </c:pt>
                <c:pt idx="263">
                  <c:v>176.11199999999999</c:v>
                </c:pt>
                <c:pt idx="264">
                  <c:v>176.316</c:v>
                </c:pt>
                <c:pt idx="265">
                  <c:v>175.773</c:v>
                </c:pt>
                <c:pt idx="266">
                  <c:v>176.04499999999999</c:v>
                </c:pt>
                <c:pt idx="267">
                  <c:v>176.00700000000001</c:v>
                </c:pt>
                <c:pt idx="268">
                  <c:v>175.82400000000001</c:v>
                </c:pt>
                <c:pt idx="269">
                  <c:v>175.89699999999999</c:v>
                </c:pt>
                <c:pt idx="270">
                  <c:v>175.703</c:v>
                </c:pt>
                <c:pt idx="271">
                  <c:v>176.024</c:v>
                </c:pt>
                <c:pt idx="272">
                  <c:v>175.82300000000001</c:v>
                </c:pt>
                <c:pt idx="273">
                  <c:v>176.43199999999999</c:v>
                </c:pt>
                <c:pt idx="274">
                  <c:v>175.88200000000001</c:v>
                </c:pt>
                <c:pt idx="275">
                  <c:v>176.49299999999999</c:v>
                </c:pt>
                <c:pt idx="276">
                  <c:v>175.911</c:v>
                </c:pt>
                <c:pt idx="277">
                  <c:v>176.471</c:v>
                </c:pt>
                <c:pt idx="278">
                  <c:v>176.29900000000001</c:v>
                </c:pt>
                <c:pt idx="279">
                  <c:v>176.20500000000001</c:v>
                </c:pt>
                <c:pt idx="280">
                  <c:v>175.93</c:v>
                </c:pt>
                <c:pt idx="281">
                  <c:v>175.99700000000001</c:v>
                </c:pt>
                <c:pt idx="282">
                  <c:v>176.22399999999999</c:v>
                </c:pt>
                <c:pt idx="283">
                  <c:v>175.84899999999999</c:v>
                </c:pt>
                <c:pt idx="284">
                  <c:v>175.91499999999999</c:v>
                </c:pt>
                <c:pt idx="285">
                  <c:v>175.92099999999999</c:v>
                </c:pt>
                <c:pt idx="286">
                  <c:v>175.92500000000001</c:v>
                </c:pt>
                <c:pt idx="287">
                  <c:v>175.92400000000001</c:v>
                </c:pt>
                <c:pt idx="288">
                  <c:v>175.71</c:v>
                </c:pt>
                <c:pt idx="289">
                  <c:v>175.87700000000001</c:v>
                </c:pt>
                <c:pt idx="290">
                  <c:v>175.90199999999999</c:v>
                </c:pt>
                <c:pt idx="291">
                  <c:v>175.88900000000001</c:v>
                </c:pt>
                <c:pt idx="292">
                  <c:v>175.977</c:v>
                </c:pt>
                <c:pt idx="293">
                  <c:v>176.06399999999999</c:v>
                </c:pt>
                <c:pt idx="294">
                  <c:v>176.09399999999999</c:v>
                </c:pt>
                <c:pt idx="295">
                  <c:v>175.815</c:v>
                </c:pt>
                <c:pt idx="296">
                  <c:v>175.83699999999999</c:v>
                </c:pt>
                <c:pt idx="297">
                  <c:v>175.94399999999999</c:v>
                </c:pt>
                <c:pt idx="298">
                  <c:v>175.846</c:v>
                </c:pt>
                <c:pt idx="299">
                  <c:v>176.131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2-4A1B-8D84-12C9606D2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716816"/>
        <c:axId val="644713864"/>
      </c:lineChart>
      <c:catAx>
        <c:axId val="64471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3864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64471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681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LER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Data!$E$3:$E$327</c:f>
              <c:numCache>
                <c:formatCode>General</c:formatCode>
                <c:ptCount val="325"/>
                <c:pt idx="0">
                  <c:v>2.008</c:v>
                </c:pt>
                <c:pt idx="1">
                  <c:v>1.147</c:v>
                </c:pt>
                <c:pt idx="2">
                  <c:v>1.504</c:v>
                </c:pt>
                <c:pt idx="3">
                  <c:v>1.294</c:v>
                </c:pt>
                <c:pt idx="4">
                  <c:v>1.2949999999999999</c:v>
                </c:pt>
                <c:pt idx="5">
                  <c:v>0.90100000000000002</c:v>
                </c:pt>
                <c:pt idx="6">
                  <c:v>1.1459999999999999</c:v>
                </c:pt>
                <c:pt idx="7">
                  <c:v>1.3160000000000001</c:v>
                </c:pt>
                <c:pt idx="8">
                  <c:v>1.548</c:v>
                </c:pt>
                <c:pt idx="9">
                  <c:v>1.2310000000000001</c:v>
                </c:pt>
                <c:pt idx="10">
                  <c:v>1.298</c:v>
                </c:pt>
                <c:pt idx="11">
                  <c:v>1.4990000000000001</c:v>
                </c:pt>
                <c:pt idx="12">
                  <c:v>1.524</c:v>
                </c:pt>
                <c:pt idx="13">
                  <c:v>1.492</c:v>
                </c:pt>
                <c:pt idx="14">
                  <c:v>1.175</c:v>
                </c:pt>
                <c:pt idx="15">
                  <c:v>1.8240000000000001</c:v>
                </c:pt>
                <c:pt idx="16">
                  <c:v>1.2969999999999999</c:v>
                </c:pt>
                <c:pt idx="17">
                  <c:v>1.6259999999999999</c:v>
                </c:pt>
                <c:pt idx="18">
                  <c:v>1.5109999999999999</c:v>
                </c:pt>
                <c:pt idx="19">
                  <c:v>1.427</c:v>
                </c:pt>
                <c:pt idx="20">
                  <c:v>1.304</c:v>
                </c:pt>
                <c:pt idx="21">
                  <c:v>1.339</c:v>
                </c:pt>
                <c:pt idx="22">
                  <c:v>1.379</c:v>
                </c:pt>
                <c:pt idx="23">
                  <c:v>1.611</c:v>
                </c:pt>
                <c:pt idx="24">
                  <c:v>1.649</c:v>
                </c:pt>
                <c:pt idx="25">
                  <c:v>1.9850000000000001</c:v>
                </c:pt>
                <c:pt idx="26">
                  <c:v>1.897</c:v>
                </c:pt>
                <c:pt idx="27">
                  <c:v>1.9039999999999999</c:v>
                </c:pt>
                <c:pt idx="28">
                  <c:v>2.3010000000000002</c:v>
                </c:pt>
                <c:pt idx="29">
                  <c:v>1.76</c:v>
                </c:pt>
                <c:pt idx="30">
                  <c:v>2.738</c:v>
                </c:pt>
                <c:pt idx="31">
                  <c:v>2.101</c:v>
                </c:pt>
                <c:pt idx="32">
                  <c:v>1.962</c:v>
                </c:pt>
                <c:pt idx="33">
                  <c:v>2.1480000000000001</c:v>
                </c:pt>
                <c:pt idx="34">
                  <c:v>1.518</c:v>
                </c:pt>
                <c:pt idx="35">
                  <c:v>2.048</c:v>
                </c:pt>
                <c:pt idx="36">
                  <c:v>2.1579999999999999</c:v>
                </c:pt>
                <c:pt idx="37">
                  <c:v>1.9379999999999999</c:v>
                </c:pt>
                <c:pt idx="38">
                  <c:v>2.0750000000000002</c:v>
                </c:pt>
                <c:pt idx="39">
                  <c:v>2.0550000000000002</c:v>
                </c:pt>
                <c:pt idx="40">
                  <c:v>2.048</c:v>
                </c:pt>
                <c:pt idx="41">
                  <c:v>2.1629999999999998</c:v>
                </c:pt>
                <c:pt idx="42">
                  <c:v>2.1850000000000001</c:v>
                </c:pt>
                <c:pt idx="43">
                  <c:v>1.9570000000000001</c:v>
                </c:pt>
                <c:pt idx="44">
                  <c:v>1.677</c:v>
                </c:pt>
                <c:pt idx="45">
                  <c:v>1.62</c:v>
                </c:pt>
                <c:pt idx="46">
                  <c:v>1.974</c:v>
                </c:pt>
                <c:pt idx="47">
                  <c:v>2.149</c:v>
                </c:pt>
                <c:pt idx="48">
                  <c:v>2.222</c:v>
                </c:pt>
                <c:pt idx="49">
                  <c:v>1.9390000000000001</c:v>
                </c:pt>
                <c:pt idx="50">
                  <c:v>2.089</c:v>
                </c:pt>
                <c:pt idx="51">
                  <c:v>2.2789999999999999</c:v>
                </c:pt>
                <c:pt idx="52">
                  <c:v>2.0920000000000001</c:v>
                </c:pt>
                <c:pt idx="53">
                  <c:v>1.958</c:v>
                </c:pt>
                <c:pt idx="54">
                  <c:v>2.153</c:v>
                </c:pt>
                <c:pt idx="55">
                  <c:v>1.718</c:v>
                </c:pt>
                <c:pt idx="56">
                  <c:v>1.901</c:v>
                </c:pt>
                <c:pt idx="57">
                  <c:v>2.67</c:v>
                </c:pt>
                <c:pt idx="58">
                  <c:v>2.3690000000000002</c:v>
                </c:pt>
                <c:pt idx="59">
                  <c:v>1.788</c:v>
                </c:pt>
                <c:pt idx="60">
                  <c:v>1.88</c:v>
                </c:pt>
                <c:pt idx="61">
                  <c:v>2.214</c:v>
                </c:pt>
                <c:pt idx="62">
                  <c:v>1.8680000000000001</c:v>
                </c:pt>
                <c:pt idx="63">
                  <c:v>2.0499999999999998</c:v>
                </c:pt>
                <c:pt idx="64">
                  <c:v>1.94</c:v>
                </c:pt>
                <c:pt idx="65">
                  <c:v>1.8919999999999999</c:v>
                </c:pt>
                <c:pt idx="66">
                  <c:v>2.08</c:v>
                </c:pt>
                <c:pt idx="67">
                  <c:v>2.65</c:v>
                </c:pt>
                <c:pt idx="68">
                  <c:v>2.706</c:v>
                </c:pt>
                <c:pt idx="69">
                  <c:v>1.948</c:v>
                </c:pt>
                <c:pt idx="70">
                  <c:v>2.0379999999999998</c:v>
                </c:pt>
                <c:pt idx="71">
                  <c:v>2.4670000000000001</c:v>
                </c:pt>
                <c:pt idx="72">
                  <c:v>1.93</c:v>
                </c:pt>
                <c:pt idx="73">
                  <c:v>2.528</c:v>
                </c:pt>
                <c:pt idx="74">
                  <c:v>2.3130000000000002</c:v>
                </c:pt>
                <c:pt idx="75">
                  <c:v>2.081</c:v>
                </c:pt>
                <c:pt idx="76">
                  <c:v>2.1930000000000001</c:v>
                </c:pt>
                <c:pt idx="77">
                  <c:v>2.0230000000000001</c:v>
                </c:pt>
                <c:pt idx="78">
                  <c:v>1.9590000000000001</c:v>
                </c:pt>
                <c:pt idx="79">
                  <c:v>1.8759999999999999</c:v>
                </c:pt>
                <c:pt idx="80">
                  <c:v>2.1800000000000002</c:v>
                </c:pt>
                <c:pt idx="81">
                  <c:v>1.97</c:v>
                </c:pt>
                <c:pt idx="82">
                  <c:v>2.0459999999999998</c:v>
                </c:pt>
                <c:pt idx="83">
                  <c:v>2.0539999999999998</c:v>
                </c:pt>
                <c:pt idx="84">
                  <c:v>2.036</c:v>
                </c:pt>
                <c:pt idx="85">
                  <c:v>1.883</c:v>
                </c:pt>
                <c:pt idx="86">
                  <c:v>2.2719999999999998</c:v>
                </c:pt>
                <c:pt idx="87">
                  <c:v>1.6559999999999999</c:v>
                </c:pt>
                <c:pt idx="88">
                  <c:v>2.1560000000000001</c:v>
                </c:pt>
                <c:pt idx="89">
                  <c:v>1.992</c:v>
                </c:pt>
                <c:pt idx="90">
                  <c:v>2.4049999999999998</c:v>
                </c:pt>
                <c:pt idx="91">
                  <c:v>2.1419999999999999</c:v>
                </c:pt>
                <c:pt idx="92">
                  <c:v>2.867</c:v>
                </c:pt>
                <c:pt idx="93">
                  <c:v>2.3149999999999999</c:v>
                </c:pt>
                <c:pt idx="94">
                  <c:v>2.2400000000000002</c:v>
                </c:pt>
                <c:pt idx="95">
                  <c:v>2.5129999999999999</c:v>
                </c:pt>
                <c:pt idx="96">
                  <c:v>2.052</c:v>
                </c:pt>
                <c:pt idx="97">
                  <c:v>2.33</c:v>
                </c:pt>
                <c:pt idx="98">
                  <c:v>1.79</c:v>
                </c:pt>
                <c:pt idx="99">
                  <c:v>2.04</c:v>
                </c:pt>
                <c:pt idx="100">
                  <c:v>2.448</c:v>
                </c:pt>
                <c:pt idx="101">
                  <c:v>2.9529999999999998</c:v>
                </c:pt>
                <c:pt idx="102">
                  <c:v>2.8540000000000001</c:v>
                </c:pt>
                <c:pt idx="103">
                  <c:v>2.206</c:v>
                </c:pt>
                <c:pt idx="104">
                  <c:v>2.0329999999999999</c:v>
                </c:pt>
                <c:pt idx="105">
                  <c:v>2.3069999999999999</c:v>
                </c:pt>
                <c:pt idx="106">
                  <c:v>2.7629999999999999</c:v>
                </c:pt>
                <c:pt idx="107">
                  <c:v>1.9610000000000001</c:v>
                </c:pt>
                <c:pt idx="108">
                  <c:v>2.0499999999999998</c:v>
                </c:pt>
                <c:pt idx="109">
                  <c:v>2.2959999999999998</c:v>
                </c:pt>
                <c:pt idx="110">
                  <c:v>2.2480000000000002</c:v>
                </c:pt>
                <c:pt idx="111">
                  <c:v>2.2120000000000002</c:v>
                </c:pt>
                <c:pt idx="112">
                  <c:v>2.1059999999999999</c:v>
                </c:pt>
                <c:pt idx="113">
                  <c:v>1.9470000000000001</c:v>
                </c:pt>
                <c:pt idx="114">
                  <c:v>1.9810000000000001</c:v>
                </c:pt>
                <c:pt idx="115">
                  <c:v>2.169</c:v>
                </c:pt>
                <c:pt idx="116">
                  <c:v>2.7109999999999999</c:v>
                </c:pt>
                <c:pt idx="117">
                  <c:v>2.0139999999999998</c:v>
                </c:pt>
                <c:pt idx="118">
                  <c:v>2.2749999999999999</c:v>
                </c:pt>
                <c:pt idx="119">
                  <c:v>2.883</c:v>
                </c:pt>
                <c:pt idx="120">
                  <c:v>2.456</c:v>
                </c:pt>
                <c:pt idx="121">
                  <c:v>2.2149999999999999</c:v>
                </c:pt>
                <c:pt idx="122">
                  <c:v>2.036</c:v>
                </c:pt>
                <c:pt idx="123">
                  <c:v>1.6579999999999999</c:v>
                </c:pt>
                <c:pt idx="124">
                  <c:v>1.962</c:v>
                </c:pt>
                <c:pt idx="125">
                  <c:v>2.0579999999999998</c:v>
                </c:pt>
                <c:pt idx="126">
                  <c:v>2.2309999999999999</c:v>
                </c:pt>
                <c:pt idx="127">
                  <c:v>1.9990000000000001</c:v>
                </c:pt>
                <c:pt idx="128">
                  <c:v>2.5459999999999998</c:v>
                </c:pt>
                <c:pt idx="129">
                  <c:v>2.448</c:v>
                </c:pt>
                <c:pt idx="130">
                  <c:v>2.3159999999999998</c:v>
                </c:pt>
                <c:pt idx="131">
                  <c:v>2.1320000000000001</c:v>
                </c:pt>
                <c:pt idx="132">
                  <c:v>2.0379999999999998</c:v>
                </c:pt>
                <c:pt idx="133">
                  <c:v>2.282</c:v>
                </c:pt>
                <c:pt idx="134">
                  <c:v>2.2890000000000001</c:v>
                </c:pt>
                <c:pt idx="135">
                  <c:v>1.921</c:v>
                </c:pt>
                <c:pt idx="136">
                  <c:v>2.173</c:v>
                </c:pt>
                <c:pt idx="137">
                  <c:v>1.96</c:v>
                </c:pt>
                <c:pt idx="138">
                  <c:v>1.992</c:v>
                </c:pt>
                <c:pt idx="139">
                  <c:v>2.2429999999999999</c:v>
                </c:pt>
                <c:pt idx="140">
                  <c:v>2.294</c:v>
                </c:pt>
                <c:pt idx="141">
                  <c:v>2.4</c:v>
                </c:pt>
                <c:pt idx="142">
                  <c:v>2.2890000000000001</c:v>
                </c:pt>
                <c:pt idx="143">
                  <c:v>1.948</c:v>
                </c:pt>
                <c:pt idx="144">
                  <c:v>2.6389999999999998</c:v>
                </c:pt>
                <c:pt idx="145">
                  <c:v>2.3340000000000001</c:v>
                </c:pt>
                <c:pt idx="146">
                  <c:v>2.4279999999999999</c:v>
                </c:pt>
                <c:pt idx="147">
                  <c:v>2.0310000000000001</c:v>
                </c:pt>
                <c:pt idx="148">
                  <c:v>2.637</c:v>
                </c:pt>
                <c:pt idx="149">
                  <c:v>2.7890000000000001</c:v>
                </c:pt>
                <c:pt idx="150">
                  <c:v>1.6240000000000001</c:v>
                </c:pt>
                <c:pt idx="151">
                  <c:v>2.1970000000000001</c:v>
                </c:pt>
                <c:pt idx="152">
                  <c:v>2.0470000000000002</c:v>
                </c:pt>
                <c:pt idx="153">
                  <c:v>2.0630000000000002</c:v>
                </c:pt>
                <c:pt idx="154">
                  <c:v>2.133</c:v>
                </c:pt>
                <c:pt idx="155">
                  <c:v>1.984</c:v>
                </c:pt>
                <c:pt idx="156">
                  <c:v>2.0529999999999999</c:v>
                </c:pt>
                <c:pt idx="157">
                  <c:v>2.484</c:v>
                </c:pt>
                <c:pt idx="158">
                  <c:v>2.226</c:v>
                </c:pt>
                <c:pt idx="159">
                  <c:v>1.766</c:v>
                </c:pt>
                <c:pt idx="160">
                  <c:v>1.992</c:v>
                </c:pt>
                <c:pt idx="161">
                  <c:v>2.121</c:v>
                </c:pt>
                <c:pt idx="162">
                  <c:v>1.5369999999999999</c:v>
                </c:pt>
                <c:pt idx="163">
                  <c:v>1.853</c:v>
                </c:pt>
                <c:pt idx="164">
                  <c:v>2.0910000000000002</c:v>
                </c:pt>
                <c:pt idx="165">
                  <c:v>2.1890000000000001</c:v>
                </c:pt>
                <c:pt idx="166">
                  <c:v>2.1309999999999998</c:v>
                </c:pt>
                <c:pt idx="167">
                  <c:v>2.0569999999999999</c:v>
                </c:pt>
                <c:pt idx="168">
                  <c:v>2.4950000000000001</c:v>
                </c:pt>
                <c:pt idx="169">
                  <c:v>2.1680000000000001</c:v>
                </c:pt>
                <c:pt idx="170">
                  <c:v>1.712</c:v>
                </c:pt>
                <c:pt idx="171">
                  <c:v>2.246</c:v>
                </c:pt>
                <c:pt idx="172">
                  <c:v>2.008</c:v>
                </c:pt>
                <c:pt idx="173">
                  <c:v>1.978</c:v>
                </c:pt>
                <c:pt idx="174">
                  <c:v>2.323</c:v>
                </c:pt>
                <c:pt idx="175">
                  <c:v>2.2959999999999998</c:v>
                </c:pt>
                <c:pt idx="176">
                  <c:v>1.9319999999999999</c:v>
                </c:pt>
                <c:pt idx="177">
                  <c:v>1.7549999999999999</c:v>
                </c:pt>
                <c:pt idx="178">
                  <c:v>1.948</c:v>
                </c:pt>
                <c:pt idx="179">
                  <c:v>2.1739999999999999</c:v>
                </c:pt>
                <c:pt idx="180">
                  <c:v>2.2040000000000002</c:v>
                </c:pt>
                <c:pt idx="181">
                  <c:v>2.1960000000000002</c:v>
                </c:pt>
                <c:pt idx="182">
                  <c:v>2.1379999999999999</c:v>
                </c:pt>
                <c:pt idx="183">
                  <c:v>2.3170000000000002</c:v>
                </c:pt>
                <c:pt idx="184">
                  <c:v>2.0430000000000001</c:v>
                </c:pt>
                <c:pt idx="185">
                  <c:v>1.859</c:v>
                </c:pt>
                <c:pt idx="186">
                  <c:v>2.35</c:v>
                </c:pt>
                <c:pt idx="187">
                  <c:v>1.6950000000000001</c:v>
                </c:pt>
                <c:pt idx="188">
                  <c:v>2.23</c:v>
                </c:pt>
                <c:pt idx="189">
                  <c:v>2.17</c:v>
                </c:pt>
                <c:pt idx="190">
                  <c:v>1.573</c:v>
                </c:pt>
                <c:pt idx="191">
                  <c:v>2.0459999999999998</c:v>
                </c:pt>
                <c:pt idx="192">
                  <c:v>1.857</c:v>
                </c:pt>
                <c:pt idx="193">
                  <c:v>2.4300000000000002</c:v>
                </c:pt>
                <c:pt idx="194">
                  <c:v>1.76</c:v>
                </c:pt>
                <c:pt idx="195">
                  <c:v>1.865</c:v>
                </c:pt>
                <c:pt idx="196">
                  <c:v>1.81</c:v>
                </c:pt>
                <c:pt idx="197">
                  <c:v>1.9830000000000001</c:v>
                </c:pt>
                <c:pt idx="198">
                  <c:v>1.796</c:v>
                </c:pt>
                <c:pt idx="199">
                  <c:v>2.1190000000000002</c:v>
                </c:pt>
                <c:pt idx="200">
                  <c:v>2.1920000000000002</c:v>
                </c:pt>
                <c:pt idx="201">
                  <c:v>1.9530000000000001</c:v>
                </c:pt>
                <c:pt idx="202">
                  <c:v>2.1360000000000001</c:v>
                </c:pt>
                <c:pt idx="203">
                  <c:v>2.57</c:v>
                </c:pt>
                <c:pt idx="204">
                  <c:v>2.004</c:v>
                </c:pt>
                <c:pt idx="205">
                  <c:v>1.891</c:v>
                </c:pt>
                <c:pt idx="206">
                  <c:v>2.3170000000000002</c:v>
                </c:pt>
                <c:pt idx="207">
                  <c:v>2.0289999999999999</c:v>
                </c:pt>
                <c:pt idx="208">
                  <c:v>2.35</c:v>
                </c:pt>
                <c:pt idx="209">
                  <c:v>2.3580000000000001</c:v>
                </c:pt>
                <c:pt idx="210">
                  <c:v>2.597</c:v>
                </c:pt>
                <c:pt idx="211">
                  <c:v>2.2410000000000001</c:v>
                </c:pt>
                <c:pt idx="212">
                  <c:v>2.4780000000000002</c:v>
                </c:pt>
                <c:pt idx="213">
                  <c:v>1.9790000000000001</c:v>
                </c:pt>
                <c:pt idx="214">
                  <c:v>2.2029999999999998</c:v>
                </c:pt>
                <c:pt idx="215">
                  <c:v>2.7440000000000002</c:v>
                </c:pt>
                <c:pt idx="216">
                  <c:v>2.2879999999999998</c:v>
                </c:pt>
                <c:pt idx="217">
                  <c:v>2.2879999999999998</c:v>
                </c:pt>
                <c:pt idx="218">
                  <c:v>2.2799999999999998</c:v>
                </c:pt>
                <c:pt idx="219">
                  <c:v>2.278</c:v>
                </c:pt>
                <c:pt idx="220">
                  <c:v>2.036</c:v>
                </c:pt>
                <c:pt idx="221">
                  <c:v>2.0720000000000001</c:v>
                </c:pt>
                <c:pt idx="222">
                  <c:v>2.0579999999999998</c:v>
                </c:pt>
                <c:pt idx="223">
                  <c:v>1.9790000000000001</c:v>
                </c:pt>
                <c:pt idx="224">
                  <c:v>1.9</c:v>
                </c:pt>
                <c:pt idx="225">
                  <c:v>1.8819999999999999</c:v>
                </c:pt>
                <c:pt idx="226">
                  <c:v>2.028</c:v>
                </c:pt>
                <c:pt idx="227">
                  <c:v>1.708</c:v>
                </c:pt>
                <c:pt idx="228">
                  <c:v>2.4750000000000001</c:v>
                </c:pt>
                <c:pt idx="229">
                  <c:v>1.9350000000000001</c:v>
                </c:pt>
                <c:pt idx="230">
                  <c:v>2.3519999999999999</c:v>
                </c:pt>
                <c:pt idx="231">
                  <c:v>1.6419999999999999</c:v>
                </c:pt>
                <c:pt idx="232">
                  <c:v>2.0379999999999998</c:v>
                </c:pt>
                <c:pt idx="233">
                  <c:v>1.7470000000000001</c:v>
                </c:pt>
                <c:pt idx="234">
                  <c:v>1.829</c:v>
                </c:pt>
                <c:pt idx="235">
                  <c:v>2.0009999999999999</c:v>
                </c:pt>
                <c:pt idx="236">
                  <c:v>1.768</c:v>
                </c:pt>
                <c:pt idx="237">
                  <c:v>1.871</c:v>
                </c:pt>
                <c:pt idx="238">
                  <c:v>1.8560000000000001</c:v>
                </c:pt>
                <c:pt idx="239">
                  <c:v>1.6020000000000001</c:v>
                </c:pt>
                <c:pt idx="240">
                  <c:v>2.2429999999999999</c:v>
                </c:pt>
                <c:pt idx="241">
                  <c:v>2.0030000000000001</c:v>
                </c:pt>
                <c:pt idx="242">
                  <c:v>2.113</c:v>
                </c:pt>
                <c:pt idx="243">
                  <c:v>2.1629999999999998</c:v>
                </c:pt>
                <c:pt idx="244">
                  <c:v>1.9139999999999999</c:v>
                </c:pt>
                <c:pt idx="245">
                  <c:v>1.8320000000000001</c:v>
                </c:pt>
                <c:pt idx="246">
                  <c:v>1.7130000000000001</c:v>
                </c:pt>
                <c:pt idx="247">
                  <c:v>1.702</c:v>
                </c:pt>
                <c:pt idx="248">
                  <c:v>1.968</c:v>
                </c:pt>
                <c:pt idx="249">
                  <c:v>1.9990000000000001</c:v>
                </c:pt>
                <c:pt idx="250">
                  <c:v>1.99</c:v>
                </c:pt>
                <c:pt idx="251">
                  <c:v>1.6739999999999999</c:v>
                </c:pt>
                <c:pt idx="252">
                  <c:v>2.0270000000000001</c:v>
                </c:pt>
                <c:pt idx="253">
                  <c:v>1.8089999999999999</c:v>
                </c:pt>
                <c:pt idx="254">
                  <c:v>2.0750000000000002</c:v>
                </c:pt>
                <c:pt idx="255">
                  <c:v>1.974</c:v>
                </c:pt>
                <c:pt idx="256">
                  <c:v>1.917</c:v>
                </c:pt>
                <c:pt idx="257">
                  <c:v>1.9159999999999999</c:v>
                </c:pt>
                <c:pt idx="258">
                  <c:v>2.2130000000000001</c:v>
                </c:pt>
                <c:pt idx="259">
                  <c:v>1.554</c:v>
                </c:pt>
                <c:pt idx="260">
                  <c:v>2.1749999999999998</c:v>
                </c:pt>
                <c:pt idx="261">
                  <c:v>2.1070000000000002</c:v>
                </c:pt>
                <c:pt idx="262">
                  <c:v>1.89</c:v>
                </c:pt>
                <c:pt idx="263">
                  <c:v>1.673</c:v>
                </c:pt>
                <c:pt idx="264">
                  <c:v>2.6579999999999999</c:v>
                </c:pt>
                <c:pt idx="265">
                  <c:v>2.262</c:v>
                </c:pt>
                <c:pt idx="266">
                  <c:v>2.306</c:v>
                </c:pt>
                <c:pt idx="267">
                  <c:v>2.3540000000000001</c:v>
                </c:pt>
                <c:pt idx="268">
                  <c:v>1.988</c:v>
                </c:pt>
                <c:pt idx="269">
                  <c:v>1.7230000000000001</c:v>
                </c:pt>
                <c:pt idx="270">
                  <c:v>1.7829999999999999</c:v>
                </c:pt>
                <c:pt idx="271">
                  <c:v>2.2080000000000002</c:v>
                </c:pt>
                <c:pt idx="272">
                  <c:v>1.831</c:v>
                </c:pt>
                <c:pt idx="273">
                  <c:v>1.86</c:v>
                </c:pt>
                <c:pt idx="274">
                  <c:v>2.0739999999999998</c:v>
                </c:pt>
                <c:pt idx="275">
                  <c:v>1.752</c:v>
                </c:pt>
                <c:pt idx="276">
                  <c:v>2.1360000000000001</c:v>
                </c:pt>
                <c:pt idx="277">
                  <c:v>2.1339999999999999</c:v>
                </c:pt>
                <c:pt idx="278">
                  <c:v>2.169</c:v>
                </c:pt>
                <c:pt idx="279">
                  <c:v>2.149</c:v>
                </c:pt>
                <c:pt idx="280">
                  <c:v>1.6759999999999999</c:v>
                </c:pt>
                <c:pt idx="281">
                  <c:v>1.9930000000000001</c:v>
                </c:pt>
                <c:pt idx="282">
                  <c:v>1.5980000000000001</c:v>
                </c:pt>
                <c:pt idx="283">
                  <c:v>1.601</c:v>
                </c:pt>
                <c:pt idx="284">
                  <c:v>1.9219999999999999</c:v>
                </c:pt>
                <c:pt idx="285">
                  <c:v>1.8839999999999999</c:v>
                </c:pt>
                <c:pt idx="286">
                  <c:v>1.4630000000000001</c:v>
                </c:pt>
                <c:pt idx="287">
                  <c:v>2.157</c:v>
                </c:pt>
                <c:pt idx="288">
                  <c:v>1.8380000000000001</c:v>
                </c:pt>
                <c:pt idx="289">
                  <c:v>2.2669999999999999</c:v>
                </c:pt>
                <c:pt idx="290">
                  <c:v>1.766</c:v>
                </c:pt>
                <c:pt idx="291">
                  <c:v>1.8839999999999999</c:v>
                </c:pt>
                <c:pt idx="292">
                  <c:v>2.3769999999999998</c:v>
                </c:pt>
                <c:pt idx="293">
                  <c:v>1.591</c:v>
                </c:pt>
                <c:pt idx="294">
                  <c:v>2.17</c:v>
                </c:pt>
                <c:pt idx="295">
                  <c:v>1.69</c:v>
                </c:pt>
                <c:pt idx="296">
                  <c:v>1.4750000000000001</c:v>
                </c:pt>
                <c:pt idx="297">
                  <c:v>2.375</c:v>
                </c:pt>
                <c:pt idx="298">
                  <c:v>2.0680000000000001</c:v>
                </c:pt>
                <c:pt idx="299">
                  <c:v>1.758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A-4FD5-B29A-206CCC7205F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Data!$F$3:$F$327</c:f>
              <c:numCache>
                <c:formatCode>General</c:formatCode>
                <c:ptCount val="325"/>
                <c:pt idx="0">
                  <c:v>1.585</c:v>
                </c:pt>
                <c:pt idx="1">
                  <c:v>1.41</c:v>
                </c:pt>
                <c:pt idx="2">
                  <c:v>1.1779999999999999</c:v>
                </c:pt>
                <c:pt idx="3">
                  <c:v>1.3420000000000001</c:v>
                </c:pt>
                <c:pt idx="4">
                  <c:v>1.597</c:v>
                </c:pt>
                <c:pt idx="5">
                  <c:v>1.486</c:v>
                </c:pt>
                <c:pt idx="6">
                  <c:v>1.75</c:v>
                </c:pt>
                <c:pt idx="7">
                  <c:v>1.478</c:v>
                </c:pt>
                <c:pt idx="8">
                  <c:v>1.6519999999999999</c:v>
                </c:pt>
                <c:pt idx="9">
                  <c:v>1.196</c:v>
                </c:pt>
                <c:pt idx="10">
                  <c:v>1.8340000000000001</c:v>
                </c:pt>
                <c:pt idx="11">
                  <c:v>1.127</c:v>
                </c:pt>
                <c:pt idx="12">
                  <c:v>1.0449999999999999</c:v>
                </c:pt>
                <c:pt idx="13">
                  <c:v>1.776</c:v>
                </c:pt>
                <c:pt idx="14">
                  <c:v>1.4450000000000001</c:v>
                </c:pt>
                <c:pt idx="15">
                  <c:v>1.375</c:v>
                </c:pt>
                <c:pt idx="16">
                  <c:v>1.34</c:v>
                </c:pt>
                <c:pt idx="17">
                  <c:v>1.3620000000000001</c:v>
                </c:pt>
                <c:pt idx="18">
                  <c:v>1.425</c:v>
                </c:pt>
                <c:pt idx="19">
                  <c:v>1.835</c:v>
                </c:pt>
                <c:pt idx="20">
                  <c:v>1.256</c:v>
                </c:pt>
                <c:pt idx="21">
                  <c:v>1.458</c:v>
                </c:pt>
                <c:pt idx="22">
                  <c:v>1.3049999999999999</c:v>
                </c:pt>
                <c:pt idx="23">
                  <c:v>1.488</c:v>
                </c:pt>
                <c:pt idx="24">
                  <c:v>1.6910000000000001</c:v>
                </c:pt>
                <c:pt idx="25">
                  <c:v>1.9</c:v>
                </c:pt>
                <c:pt idx="26">
                  <c:v>2.1920000000000002</c:v>
                </c:pt>
                <c:pt idx="27">
                  <c:v>2.2570000000000001</c:v>
                </c:pt>
                <c:pt idx="28">
                  <c:v>1.427</c:v>
                </c:pt>
                <c:pt idx="29">
                  <c:v>2.1859999999999999</c:v>
                </c:pt>
                <c:pt idx="30">
                  <c:v>2.5299999999999998</c:v>
                </c:pt>
                <c:pt idx="31">
                  <c:v>2.109</c:v>
                </c:pt>
                <c:pt idx="32">
                  <c:v>2.46</c:v>
                </c:pt>
                <c:pt idx="33">
                  <c:v>1.992</c:v>
                </c:pt>
                <c:pt idx="34">
                  <c:v>1.623</c:v>
                </c:pt>
                <c:pt idx="35">
                  <c:v>1.879</c:v>
                </c:pt>
                <c:pt idx="36">
                  <c:v>1.7390000000000001</c:v>
                </c:pt>
                <c:pt idx="37">
                  <c:v>1.835</c:v>
                </c:pt>
                <c:pt idx="38">
                  <c:v>1.587</c:v>
                </c:pt>
                <c:pt idx="39">
                  <c:v>1.516</c:v>
                </c:pt>
                <c:pt idx="40">
                  <c:v>2.4740000000000002</c:v>
                </c:pt>
                <c:pt idx="41">
                  <c:v>1.91</c:v>
                </c:pt>
                <c:pt idx="42">
                  <c:v>2.1070000000000002</c:v>
                </c:pt>
                <c:pt idx="43">
                  <c:v>2.0139999999999998</c:v>
                </c:pt>
                <c:pt idx="44">
                  <c:v>1.627</c:v>
                </c:pt>
                <c:pt idx="45">
                  <c:v>2.0409999999999999</c:v>
                </c:pt>
                <c:pt idx="46">
                  <c:v>1.923</c:v>
                </c:pt>
                <c:pt idx="47">
                  <c:v>1.879</c:v>
                </c:pt>
                <c:pt idx="48">
                  <c:v>1.9990000000000001</c:v>
                </c:pt>
                <c:pt idx="49">
                  <c:v>2.052</c:v>
                </c:pt>
                <c:pt idx="50">
                  <c:v>2.0169999999999999</c:v>
                </c:pt>
                <c:pt idx="51">
                  <c:v>2.097</c:v>
                </c:pt>
                <c:pt idx="52">
                  <c:v>1.869</c:v>
                </c:pt>
                <c:pt idx="53">
                  <c:v>1.956</c:v>
                </c:pt>
                <c:pt idx="54">
                  <c:v>2.0150000000000001</c:v>
                </c:pt>
                <c:pt idx="55">
                  <c:v>1.877</c:v>
                </c:pt>
                <c:pt idx="56">
                  <c:v>2.0830000000000002</c:v>
                </c:pt>
                <c:pt idx="57">
                  <c:v>2.1819999999999999</c:v>
                </c:pt>
                <c:pt idx="58">
                  <c:v>1.9710000000000001</c:v>
                </c:pt>
                <c:pt idx="59">
                  <c:v>2.14</c:v>
                </c:pt>
                <c:pt idx="60">
                  <c:v>2.0859999999999999</c:v>
                </c:pt>
                <c:pt idx="61">
                  <c:v>1.883</c:v>
                </c:pt>
                <c:pt idx="62">
                  <c:v>2.1139999999999999</c:v>
                </c:pt>
                <c:pt idx="63">
                  <c:v>2.093</c:v>
                </c:pt>
                <c:pt idx="64">
                  <c:v>2.2290000000000001</c:v>
                </c:pt>
                <c:pt idx="65">
                  <c:v>2.4529999999999998</c:v>
                </c:pt>
                <c:pt idx="66">
                  <c:v>2.2400000000000002</c:v>
                </c:pt>
                <c:pt idx="67">
                  <c:v>2.72</c:v>
                </c:pt>
                <c:pt idx="68">
                  <c:v>2.2000000000000002</c:v>
                </c:pt>
                <c:pt idx="69">
                  <c:v>2.9820000000000002</c:v>
                </c:pt>
                <c:pt idx="70">
                  <c:v>2.1309999999999998</c:v>
                </c:pt>
                <c:pt idx="71">
                  <c:v>1.9650000000000001</c:v>
                </c:pt>
                <c:pt idx="72">
                  <c:v>2.0920000000000001</c:v>
                </c:pt>
                <c:pt idx="73">
                  <c:v>2.0819999999999999</c:v>
                </c:pt>
                <c:pt idx="74">
                  <c:v>2.351</c:v>
                </c:pt>
                <c:pt idx="75">
                  <c:v>1.982</c:v>
                </c:pt>
                <c:pt idx="76">
                  <c:v>2.0720000000000001</c:v>
                </c:pt>
                <c:pt idx="77">
                  <c:v>2.3639999999999999</c:v>
                </c:pt>
                <c:pt idx="78">
                  <c:v>1.986</c:v>
                </c:pt>
                <c:pt idx="79">
                  <c:v>1.98</c:v>
                </c:pt>
                <c:pt idx="80">
                  <c:v>2.1739999999999999</c:v>
                </c:pt>
                <c:pt idx="81">
                  <c:v>1.91</c:v>
                </c:pt>
                <c:pt idx="82">
                  <c:v>2.1269999999999998</c:v>
                </c:pt>
                <c:pt idx="83">
                  <c:v>2.548</c:v>
                </c:pt>
                <c:pt idx="84">
                  <c:v>1.986</c:v>
                </c:pt>
                <c:pt idx="85">
                  <c:v>2.1840000000000002</c:v>
                </c:pt>
                <c:pt idx="86">
                  <c:v>1.978</c:v>
                </c:pt>
                <c:pt idx="87">
                  <c:v>2.2629999999999999</c:v>
                </c:pt>
                <c:pt idx="88">
                  <c:v>1.75</c:v>
                </c:pt>
                <c:pt idx="89">
                  <c:v>1.929</c:v>
                </c:pt>
                <c:pt idx="90">
                  <c:v>2.944</c:v>
                </c:pt>
                <c:pt idx="91">
                  <c:v>2.78</c:v>
                </c:pt>
                <c:pt idx="92">
                  <c:v>2.3439999999999999</c:v>
                </c:pt>
                <c:pt idx="93">
                  <c:v>1.903</c:v>
                </c:pt>
                <c:pt idx="94">
                  <c:v>2.222</c:v>
                </c:pt>
                <c:pt idx="95">
                  <c:v>2.4489999999999998</c:v>
                </c:pt>
                <c:pt idx="96">
                  <c:v>1.98</c:v>
                </c:pt>
                <c:pt idx="97">
                  <c:v>2.0950000000000002</c:v>
                </c:pt>
                <c:pt idx="98">
                  <c:v>1.899</c:v>
                </c:pt>
                <c:pt idx="99">
                  <c:v>1.7450000000000001</c:v>
                </c:pt>
                <c:pt idx="100">
                  <c:v>2.5459999999999998</c:v>
                </c:pt>
                <c:pt idx="101">
                  <c:v>2.2120000000000002</c:v>
                </c:pt>
                <c:pt idx="102">
                  <c:v>2.5009999999999999</c:v>
                </c:pt>
                <c:pt idx="103">
                  <c:v>2.35</c:v>
                </c:pt>
                <c:pt idx="104">
                  <c:v>2.7629999999999999</c:v>
                </c:pt>
                <c:pt idx="105">
                  <c:v>1.7629999999999999</c:v>
                </c:pt>
                <c:pt idx="106">
                  <c:v>2.3119999999999998</c:v>
                </c:pt>
                <c:pt idx="107">
                  <c:v>2.2010000000000001</c:v>
                </c:pt>
                <c:pt idx="108">
                  <c:v>2.6579999999999999</c:v>
                </c:pt>
                <c:pt idx="109">
                  <c:v>2.1549999999999998</c:v>
                </c:pt>
                <c:pt idx="110">
                  <c:v>2.0699999999999998</c:v>
                </c:pt>
                <c:pt idx="111">
                  <c:v>1.7949999999999999</c:v>
                </c:pt>
                <c:pt idx="112">
                  <c:v>2.661</c:v>
                </c:pt>
                <c:pt idx="113">
                  <c:v>1.8919999999999999</c:v>
                </c:pt>
                <c:pt idx="114">
                  <c:v>2.198</c:v>
                </c:pt>
                <c:pt idx="115">
                  <c:v>2.456</c:v>
                </c:pt>
                <c:pt idx="116">
                  <c:v>2.7519999999999998</c:v>
                </c:pt>
                <c:pt idx="117">
                  <c:v>2.5579999999999998</c:v>
                </c:pt>
                <c:pt idx="118">
                  <c:v>1.49</c:v>
                </c:pt>
                <c:pt idx="119">
                  <c:v>2.6059999999999999</c:v>
                </c:pt>
                <c:pt idx="120">
                  <c:v>2.0169999999999999</c:v>
                </c:pt>
                <c:pt idx="121">
                  <c:v>2.081</c:v>
                </c:pt>
                <c:pt idx="122">
                  <c:v>1.528</c:v>
                </c:pt>
                <c:pt idx="123">
                  <c:v>1.7529999999999999</c:v>
                </c:pt>
                <c:pt idx="124">
                  <c:v>2.2530000000000001</c:v>
                </c:pt>
                <c:pt idx="125">
                  <c:v>2.496</c:v>
                </c:pt>
                <c:pt idx="126">
                  <c:v>2.4729999999999999</c:v>
                </c:pt>
                <c:pt idx="127">
                  <c:v>2.0289999999999999</c:v>
                </c:pt>
                <c:pt idx="128">
                  <c:v>2.1240000000000001</c:v>
                </c:pt>
                <c:pt idx="129">
                  <c:v>2.589</c:v>
                </c:pt>
                <c:pt idx="130">
                  <c:v>2.1760000000000002</c:v>
                </c:pt>
                <c:pt idx="131">
                  <c:v>2.2749999999999999</c:v>
                </c:pt>
                <c:pt idx="132">
                  <c:v>2.2149999999999999</c:v>
                </c:pt>
                <c:pt idx="133">
                  <c:v>1.587</c:v>
                </c:pt>
                <c:pt idx="134">
                  <c:v>1.911</c:v>
                </c:pt>
                <c:pt idx="135">
                  <c:v>2.2149999999999999</c:v>
                </c:pt>
                <c:pt idx="136">
                  <c:v>1.7350000000000001</c:v>
                </c:pt>
                <c:pt idx="137">
                  <c:v>1.9850000000000001</c:v>
                </c:pt>
                <c:pt idx="138">
                  <c:v>1.7010000000000001</c:v>
                </c:pt>
                <c:pt idx="139">
                  <c:v>1.865</c:v>
                </c:pt>
                <c:pt idx="140">
                  <c:v>2.8</c:v>
                </c:pt>
                <c:pt idx="141">
                  <c:v>2.4049999999999998</c:v>
                </c:pt>
                <c:pt idx="142">
                  <c:v>2.0910000000000002</c:v>
                </c:pt>
                <c:pt idx="143">
                  <c:v>2.7280000000000002</c:v>
                </c:pt>
                <c:pt idx="144">
                  <c:v>2.0640000000000001</c:v>
                </c:pt>
                <c:pt idx="145">
                  <c:v>2.274</c:v>
                </c:pt>
                <c:pt idx="146">
                  <c:v>2.1150000000000002</c:v>
                </c:pt>
                <c:pt idx="147">
                  <c:v>1.5649999999999999</c:v>
                </c:pt>
                <c:pt idx="148">
                  <c:v>2.1040000000000001</c:v>
                </c:pt>
                <c:pt idx="149">
                  <c:v>2.3149999999999999</c:v>
                </c:pt>
                <c:pt idx="150">
                  <c:v>2.1440000000000001</c:v>
                </c:pt>
                <c:pt idx="151">
                  <c:v>2.032</c:v>
                </c:pt>
                <c:pt idx="152">
                  <c:v>2.109</c:v>
                </c:pt>
                <c:pt idx="153">
                  <c:v>2.194</c:v>
                </c:pt>
                <c:pt idx="154">
                  <c:v>1.9019999999999999</c:v>
                </c:pt>
                <c:pt idx="155">
                  <c:v>1.966</c:v>
                </c:pt>
                <c:pt idx="156">
                  <c:v>1.9279999999999999</c:v>
                </c:pt>
                <c:pt idx="157">
                  <c:v>1.88</c:v>
                </c:pt>
                <c:pt idx="158">
                  <c:v>2.012</c:v>
                </c:pt>
                <c:pt idx="159">
                  <c:v>2.2250000000000001</c:v>
                </c:pt>
                <c:pt idx="160">
                  <c:v>2.0539999999999998</c:v>
                </c:pt>
                <c:pt idx="161">
                  <c:v>1.8340000000000001</c:v>
                </c:pt>
                <c:pt idx="162">
                  <c:v>1.7569999999999999</c:v>
                </c:pt>
                <c:pt idx="163">
                  <c:v>1.9339999999999999</c:v>
                </c:pt>
                <c:pt idx="164">
                  <c:v>1.9690000000000001</c:v>
                </c:pt>
                <c:pt idx="165">
                  <c:v>1.9350000000000001</c:v>
                </c:pt>
                <c:pt idx="166">
                  <c:v>1.827</c:v>
                </c:pt>
                <c:pt idx="167">
                  <c:v>2.1190000000000002</c:v>
                </c:pt>
                <c:pt idx="168">
                  <c:v>1.5049999999999999</c:v>
                </c:pt>
                <c:pt idx="169">
                  <c:v>1.956</c:v>
                </c:pt>
                <c:pt idx="170">
                  <c:v>1.8049999999999999</c:v>
                </c:pt>
                <c:pt idx="171">
                  <c:v>1.8009999999999999</c:v>
                </c:pt>
                <c:pt idx="172">
                  <c:v>2.0270000000000001</c:v>
                </c:pt>
                <c:pt idx="173">
                  <c:v>1.925</c:v>
                </c:pt>
                <c:pt idx="174">
                  <c:v>1.7150000000000001</c:v>
                </c:pt>
                <c:pt idx="175">
                  <c:v>1.9730000000000001</c:v>
                </c:pt>
                <c:pt idx="176">
                  <c:v>2.0859999999999999</c:v>
                </c:pt>
                <c:pt idx="177">
                  <c:v>2.403</c:v>
                </c:pt>
                <c:pt idx="178">
                  <c:v>1.96</c:v>
                </c:pt>
                <c:pt idx="179">
                  <c:v>1.7809999999999999</c:v>
                </c:pt>
                <c:pt idx="180">
                  <c:v>1.931</c:v>
                </c:pt>
                <c:pt idx="181">
                  <c:v>2.2559999999999998</c:v>
                </c:pt>
                <c:pt idx="182">
                  <c:v>2.5539999999999998</c:v>
                </c:pt>
                <c:pt idx="183">
                  <c:v>1.9279999999999999</c:v>
                </c:pt>
                <c:pt idx="184">
                  <c:v>1.9690000000000001</c:v>
                </c:pt>
                <c:pt idx="185">
                  <c:v>1.74</c:v>
                </c:pt>
                <c:pt idx="186">
                  <c:v>1.851</c:v>
                </c:pt>
                <c:pt idx="187">
                  <c:v>2.41</c:v>
                </c:pt>
                <c:pt idx="188">
                  <c:v>2.3879999999999999</c:v>
                </c:pt>
                <c:pt idx="189">
                  <c:v>1.6319999999999999</c:v>
                </c:pt>
                <c:pt idx="190">
                  <c:v>2.0939999999999999</c:v>
                </c:pt>
                <c:pt idx="191">
                  <c:v>2.1190000000000002</c:v>
                </c:pt>
                <c:pt idx="192">
                  <c:v>1.921</c:v>
                </c:pt>
                <c:pt idx="193">
                  <c:v>2.3879999999999999</c:v>
                </c:pt>
                <c:pt idx="194">
                  <c:v>2.2450000000000001</c:v>
                </c:pt>
                <c:pt idx="195">
                  <c:v>2.0739999999999998</c:v>
                </c:pt>
                <c:pt idx="196">
                  <c:v>2.5550000000000002</c:v>
                </c:pt>
                <c:pt idx="197">
                  <c:v>1.7490000000000001</c:v>
                </c:pt>
                <c:pt idx="198">
                  <c:v>2.2149999999999999</c:v>
                </c:pt>
                <c:pt idx="199">
                  <c:v>1.472</c:v>
                </c:pt>
                <c:pt idx="200">
                  <c:v>1.8759999999999999</c:v>
                </c:pt>
                <c:pt idx="201">
                  <c:v>2.1480000000000001</c:v>
                </c:pt>
                <c:pt idx="202">
                  <c:v>1.7230000000000001</c:v>
                </c:pt>
                <c:pt idx="203">
                  <c:v>1.9510000000000001</c:v>
                </c:pt>
                <c:pt idx="204">
                  <c:v>2.6989999999999998</c:v>
                </c:pt>
                <c:pt idx="205">
                  <c:v>2.0259999999999998</c:v>
                </c:pt>
                <c:pt idx="206">
                  <c:v>2.1480000000000001</c:v>
                </c:pt>
                <c:pt idx="207">
                  <c:v>2.44</c:v>
                </c:pt>
                <c:pt idx="208">
                  <c:v>2.0259999999999998</c:v>
                </c:pt>
                <c:pt idx="209">
                  <c:v>2.3319999999999999</c:v>
                </c:pt>
                <c:pt idx="210">
                  <c:v>1.5880000000000001</c:v>
                </c:pt>
                <c:pt idx="211">
                  <c:v>2.5670000000000002</c:v>
                </c:pt>
                <c:pt idx="212">
                  <c:v>1.659</c:v>
                </c:pt>
                <c:pt idx="213">
                  <c:v>1.75</c:v>
                </c:pt>
                <c:pt idx="214">
                  <c:v>2.1240000000000001</c:v>
                </c:pt>
                <c:pt idx="215">
                  <c:v>2.4319999999999999</c:v>
                </c:pt>
                <c:pt idx="216">
                  <c:v>2.101</c:v>
                </c:pt>
                <c:pt idx="217">
                  <c:v>2.056</c:v>
                </c:pt>
                <c:pt idx="218">
                  <c:v>2.5409999999999999</c:v>
                </c:pt>
                <c:pt idx="219">
                  <c:v>2.15</c:v>
                </c:pt>
                <c:pt idx="220">
                  <c:v>2.4980000000000002</c:v>
                </c:pt>
                <c:pt idx="221">
                  <c:v>1.83</c:v>
                </c:pt>
                <c:pt idx="222">
                  <c:v>2.1890000000000001</c:v>
                </c:pt>
                <c:pt idx="223">
                  <c:v>1.6639999999999999</c:v>
                </c:pt>
                <c:pt idx="224">
                  <c:v>1.6930000000000001</c:v>
                </c:pt>
                <c:pt idx="225">
                  <c:v>1.8120000000000001</c:v>
                </c:pt>
                <c:pt idx="226">
                  <c:v>1.9970000000000001</c:v>
                </c:pt>
                <c:pt idx="227">
                  <c:v>1.829</c:v>
                </c:pt>
                <c:pt idx="228">
                  <c:v>1.851</c:v>
                </c:pt>
                <c:pt idx="229">
                  <c:v>1.8480000000000001</c:v>
                </c:pt>
                <c:pt idx="230">
                  <c:v>2.0310000000000001</c:v>
                </c:pt>
                <c:pt idx="231">
                  <c:v>1.651</c:v>
                </c:pt>
                <c:pt idx="232">
                  <c:v>1.887</c:v>
                </c:pt>
                <c:pt idx="233">
                  <c:v>1.5620000000000001</c:v>
                </c:pt>
                <c:pt idx="234">
                  <c:v>2.3010000000000002</c:v>
                </c:pt>
                <c:pt idx="235">
                  <c:v>1.788</c:v>
                </c:pt>
                <c:pt idx="236">
                  <c:v>2.0449999999999999</c:v>
                </c:pt>
                <c:pt idx="237">
                  <c:v>1.841</c:v>
                </c:pt>
                <c:pt idx="238">
                  <c:v>2.2509999999999999</c:v>
                </c:pt>
                <c:pt idx="239">
                  <c:v>2.0150000000000001</c:v>
                </c:pt>
                <c:pt idx="240">
                  <c:v>2.1139999999999999</c:v>
                </c:pt>
                <c:pt idx="241">
                  <c:v>1.7909999999999999</c:v>
                </c:pt>
                <c:pt idx="242">
                  <c:v>2.0129999999999999</c:v>
                </c:pt>
                <c:pt idx="243">
                  <c:v>2.093</c:v>
                </c:pt>
                <c:pt idx="244">
                  <c:v>2.282</c:v>
                </c:pt>
                <c:pt idx="245">
                  <c:v>1.8049999999999999</c:v>
                </c:pt>
                <c:pt idx="246">
                  <c:v>1.9630000000000001</c:v>
                </c:pt>
                <c:pt idx="247">
                  <c:v>2.12</c:v>
                </c:pt>
                <c:pt idx="248">
                  <c:v>2.0030000000000001</c:v>
                </c:pt>
                <c:pt idx="249">
                  <c:v>1.724</c:v>
                </c:pt>
                <c:pt idx="250">
                  <c:v>1.9330000000000001</c:v>
                </c:pt>
                <c:pt idx="251">
                  <c:v>2.16</c:v>
                </c:pt>
                <c:pt idx="252">
                  <c:v>2.0270000000000001</c:v>
                </c:pt>
                <c:pt idx="253">
                  <c:v>1.825</c:v>
                </c:pt>
                <c:pt idx="254">
                  <c:v>1.7549999999999999</c:v>
                </c:pt>
                <c:pt idx="255">
                  <c:v>1.6870000000000001</c:v>
                </c:pt>
                <c:pt idx="256">
                  <c:v>1.6459999999999999</c:v>
                </c:pt>
                <c:pt idx="257">
                  <c:v>1.613</c:v>
                </c:pt>
                <c:pt idx="258">
                  <c:v>1.639</c:v>
                </c:pt>
                <c:pt idx="259">
                  <c:v>1.6559999999999999</c:v>
                </c:pt>
                <c:pt idx="260">
                  <c:v>1.8</c:v>
                </c:pt>
                <c:pt idx="261">
                  <c:v>1.95</c:v>
                </c:pt>
                <c:pt idx="262">
                  <c:v>1.762</c:v>
                </c:pt>
                <c:pt idx="263">
                  <c:v>2.149</c:v>
                </c:pt>
                <c:pt idx="264">
                  <c:v>2.0070000000000001</c:v>
                </c:pt>
                <c:pt idx="265">
                  <c:v>2.0830000000000002</c:v>
                </c:pt>
                <c:pt idx="266">
                  <c:v>1.6930000000000001</c:v>
                </c:pt>
                <c:pt idx="267">
                  <c:v>2.0289999999999999</c:v>
                </c:pt>
                <c:pt idx="268">
                  <c:v>1.827</c:v>
                </c:pt>
                <c:pt idx="269">
                  <c:v>1.954</c:v>
                </c:pt>
                <c:pt idx="270">
                  <c:v>2.06</c:v>
                </c:pt>
                <c:pt idx="271">
                  <c:v>1.7649999999999999</c:v>
                </c:pt>
                <c:pt idx="272">
                  <c:v>1.5549999999999999</c:v>
                </c:pt>
                <c:pt idx="273">
                  <c:v>1.665</c:v>
                </c:pt>
                <c:pt idx="274">
                  <c:v>1.8520000000000001</c:v>
                </c:pt>
                <c:pt idx="275">
                  <c:v>1.544</c:v>
                </c:pt>
                <c:pt idx="276">
                  <c:v>2.202</c:v>
                </c:pt>
                <c:pt idx="277">
                  <c:v>1.5660000000000001</c:v>
                </c:pt>
                <c:pt idx="278">
                  <c:v>2.0129999999999999</c:v>
                </c:pt>
                <c:pt idx="279">
                  <c:v>2.1040000000000001</c:v>
                </c:pt>
                <c:pt idx="280">
                  <c:v>2.069</c:v>
                </c:pt>
                <c:pt idx="281">
                  <c:v>1.786</c:v>
                </c:pt>
                <c:pt idx="282">
                  <c:v>1.9570000000000001</c:v>
                </c:pt>
                <c:pt idx="283">
                  <c:v>1.97</c:v>
                </c:pt>
                <c:pt idx="284">
                  <c:v>2.2530000000000001</c:v>
                </c:pt>
                <c:pt idx="285">
                  <c:v>1.5649999999999999</c:v>
                </c:pt>
                <c:pt idx="286">
                  <c:v>1.82</c:v>
                </c:pt>
                <c:pt idx="287">
                  <c:v>1.804</c:v>
                </c:pt>
                <c:pt idx="288">
                  <c:v>1.9650000000000001</c:v>
                </c:pt>
                <c:pt idx="289">
                  <c:v>1.77</c:v>
                </c:pt>
                <c:pt idx="290">
                  <c:v>2.109</c:v>
                </c:pt>
                <c:pt idx="291">
                  <c:v>2.3439999999999999</c:v>
                </c:pt>
                <c:pt idx="292">
                  <c:v>1.954</c:v>
                </c:pt>
                <c:pt idx="293">
                  <c:v>1.528</c:v>
                </c:pt>
                <c:pt idx="294">
                  <c:v>2.2290000000000001</c:v>
                </c:pt>
                <c:pt idx="295">
                  <c:v>1.869</c:v>
                </c:pt>
                <c:pt idx="296">
                  <c:v>1.4350000000000001</c:v>
                </c:pt>
                <c:pt idx="297">
                  <c:v>1.9279999999999999</c:v>
                </c:pt>
                <c:pt idx="298">
                  <c:v>2.218</c:v>
                </c:pt>
                <c:pt idx="299">
                  <c:v>2.4329999999999998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A-4FD5-B29A-206CCC720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716816"/>
        <c:axId val="644713864"/>
      </c:lineChart>
      <c:catAx>
        <c:axId val="644716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3864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64471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4716816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US" sz="1800"/>
              <a:t>Anyangle</a:t>
            </a:r>
            <a:endParaRPr lang="ja-JP" sz="18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488300265434408"/>
          <c:y val="0.16958344912768256"/>
          <c:w val="0.72622821369481338"/>
          <c:h val="0.64484711286089236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summary_for_customer!$C$11</c:f>
              <c:strCache>
                <c:ptCount val="1"/>
                <c:pt idx="0">
                  <c:v>CD</c:v>
                </c:pt>
              </c:strCache>
            </c:strRef>
          </c:tx>
          <c:spPr>
            <a:ln w="9525">
              <a:solidFill>
                <a:srgbClr val="0070C0"/>
              </a:solidFill>
            </a:ln>
          </c:spPr>
          <c:marker>
            <c:symbol val="squar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</c:spPr>
          </c:marker>
          <c:xVal>
            <c:numRef>
              <c:f>summary_for_customer!$D$10:$O$10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summary_for_customer!$D$11:$O$11</c:f>
              <c:numCache>
                <c:formatCode>0.00_ </c:formatCode>
                <c:ptCount val="12"/>
                <c:pt idx="0">
                  <c:v>143.108</c:v>
                </c:pt>
                <c:pt idx="1">
                  <c:v>129.36599999999999</c:v>
                </c:pt>
                <c:pt idx="2">
                  <c:v>188.07560000000001</c:v>
                </c:pt>
                <c:pt idx="3">
                  <c:v>136.92519999999999</c:v>
                </c:pt>
                <c:pt idx="4">
                  <c:v>166.9864</c:v>
                </c:pt>
                <c:pt idx="5">
                  <c:v>145.10119999999998</c:v>
                </c:pt>
                <c:pt idx="6">
                  <c:v>128.8492</c:v>
                </c:pt>
                <c:pt idx="7">
                  <c:v>130.90879999999999</c:v>
                </c:pt>
                <c:pt idx="8">
                  <c:v>121.39560000000002</c:v>
                </c:pt>
                <c:pt idx="9">
                  <c:v>126.01600000000001</c:v>
                </c:pt>
                <c:pt idx="10">
                  <c:v>124.964</c:v>
                </c:pt>
                <c:pt idx="11">
                  <c:v>141.32759999999999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00-4A7E-883A-75DEB9BCF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09888"/>
        <c:axId val="318316544"/>
      </c:scatterChart>
      <c:scatterChart>
        <c:scatterStyle val="lineMarker"/>
        <c:varyColors val="0"/>
        <c:ser>
          <c:idx val="1"/>
          <c:order val="1"/>
          <c:tx>
            <c:strRef>
              <c:f>summary_for_customer!$C$12</c:f>
              <c:strCache>
                <c:ptCount val="1"/>
                <c:pt idx="0">
                  <c:v>LER</c:v>
                </c:pt>
              </c:strCache>
            </c:strRef>
          </c:tx>
          <c:spPr>
            <a:ln w="9525">
              <a:solidFill>
                <a:srgbClr val="FF0000"/>
              </a:solidFill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summary_for_customer!$D$10:$O$10</c:f>
              <c:numCache>
                <c:formatCode>General</c:formatCode>
                <c:ptCount val="12"/>
                <c:pt idx="0">
                  <c:v>-90</c:v>
                </c:pt>
                <c:pt idx="1">
                  <c:v>-75</c:v>
                </c:pt>
                <c:pt idx="2">
                  <c:v>-60</c:v>
                </c:pt>
                <c:pt idx="3">
                  <c:v>-45</c:v>
                </c:pt>
                <c:pt idx="4">
                  <c:v>-30</c:v>
                </c:pt>
                <c:pt idx="5">
                  <c:v>-15</c:v>
                </c:pt>
                <c:pt idx="6">
                  <c:v>0</c:v>
                </c:pt>
                <c:pt idx="7">
                  <c:v>15</c:v>
                </c:pt>
                <c:pt idx="8">
                  <c:v>30</c:v>
                </c:pt>
                <c:pt idx="9">
                  <c:v>45</c:v>
                </c:pt>
                <c:pt idx="10">
                  <c:v>60</c:v>
                </c:pt>
                <c:pt idx="11">
                  <c:v>75</c:v>
                </c:pt>
              </c:numCache>
            </c:numRef>
          </c:xVal>
          <c:yVal>
            <c:numRef>
              <c:f>summary_for_customer!$D$12:$O$12</c:f>
              <c:numCache>
                <c:formatCode>0.00_ </c:formatCode>
                <c:ptCount val="12"/>
                <c:pt idx="0">
                  <c:v>2.8982000000000001</c:v>
                </c:pt>
                <c:pt idx="1">
                  <c:v>2.7729999999999997</c:v>
                </c:pt>
                <c:pt idx="2">
                  <c:v>2.9638</c:v>
                </c:pt>
                <c:pt idx="3">
                  <c:v>4.5002000000000013</c:v>
                </c:pt>
                <c:pt idx="4">
                  <c:v>3.1032000000000002</c:v>
                </c:pt>
                <c:pt idx="5">
                  <c:v>7.4063999999999979</c:v>
                </c:pt>
                <c:pt idx="6">
                  <c:v>3.7716000000000003</c:v>
                </c:pt>
                <c:pt idx="7">
                  <c:v>3.7735999999999992</c:v>
                </c:pt>
                <c:pt idx="8">
                  <c:v>6.4343999999999983</c:v>
                </c:pt>
                <c:pt idx="9">
                  <c:v>4.5049999999999999</c:v>
                </c:pt>
                <c:pt idx="10">
                  <c:v>4.9097999999999997</c:v>
                </c:pt>
                <c:pt idx="11">
                  <c:v>4.3584000000000005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00-4A7E-883A-75DEB9BCF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18464"/>
        <c:axId val="318320000"/>
      </c:scatterChart>
      <c:valAx>
        <c:axId val="318309888"/>
        <c:scaling>
          <c:orientation val="minMax"/>
          <c:max val="90"/>
          <c:min val="-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Angle[Degree]</a:t>
                </a:r>
                <a:endParaRPr lang="ja-JP"/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318316544"/>
        <c:crosses val="autoZero"/>
        <c:crossBetween val="midCat"/>
        <c:majorUnit val="15"/>
      </c:valAx>
      <c:valAx>
        <c:axId val="318316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>
                    <a:solidFill>
                      <a:srgbClr val="0070C0"/>
                    </a:solidFill>
                  </a:defRPr>
                </a:pPr>
                <a:r>
                  <a:rPr lang="en-US">
                    <a:solidFill>
                      <a:srgbClr val="0070C0"/>
                    </a:solidFill>
                  </a:rPr>
                  <a:t>CD [nm]</a:t>
                </a:r>
                <a:endParaRPr lang="ja-JP">
                  <a:solidFill>
                    <a:srgbClr val="0070C0"/>
                  </a:solidFill>
                </a:endParaRPr>
              </a:p>
            </c:rich>
          </c:tx>
          <c:overlay val="0"/>
        </c:title>
        <c:numFmt formatCode="#,##0.0_ 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rgbClr val="0070C0"/>
                </a:solidFill>
              </a:defRPr>
            </a:pPr>
            <a:endParaRPr lang="ja-JP"/>
          </a:p>
        </c:txPr>
        <c:crossAx val="318309888"/>
        <c:crosses val="autoZero"/>
        <c:crossBetween val="midCat"/>
      </c:valAx>
      <c:valAx>
        <c:axId val="318318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8320000"/>
        <c:crosses val="autoZero"/>
        <c:crossBetween val="midCat"/>
      </c:valAx>
      <c:valAx>
        <c:axId val="318320000"/>
        <c:scaling>
          <c:orientation val="minMax"/>
          <c:max val="4"/>
          <c:min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r>
                  <a:rPr lang="en-US" altLang="ja-JP">
                    <a:solidFill>
                      <a:srgbClr val="FF0000"/>
                    </a:solidFill>
                  </a:rPr>
                  <a:t>LER</a:t>
                </a:r>
                <a:r>
                  <a:rPr lang="ja-JP" altLang="en-US" baseline="0">
                    <a:solidFill>
                      <a:srgbClr val="FF0000"/>
                    </a:solidFill>
                  </a:rPr>
                  <a:t> </a:t>
                </a:r>
                <a:r>
                  <a:rPr lang="en-US" altLang="ja-JP" baseline="0">
                    <a:solidFill>
                      <a:srgbClr val="FF0000"/>
                    </a:solidFill>
                  </a:rPr>
                  <a:t>3σ </a:t>
                </a:r>
                <a:r>
                  <a:rPr lang="en-US" altLang="ja-JP">
                    <a:solidFill>
                      <a:srgbClr val="FF0000"/>
                    </a:solidFill>
                  </a:rPr>
                  <a:t>[nm]</a:t>
                </a:r>
                <a:endParaRPr lang="ja-JP" altLang="en-US">
                  <a:solidFill>
                    <a:srgbClr val="FF0000"/>
                  </a:solidFill>
                </a:endParaRPr>
              </a:p>
            </c:rich>
          </c:tx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ja-JP"/>
          </a:p>
        </c:txPr>
        <c:crossAx val="318318464"/>
        <c:crosses val="max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5533133939652899"/>
          <c:y val="3.4944101375083213E-2"/>
          <c:w val="0.27636387312051114"/>
          <c:h val="9.8381579853538709E-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  <c:txPr>
    <a:bodyPr/>
    <a:lstStyle/>
    <a:p>
      <a:pPr>
        <a:defRPr sz="1200">
          <a:latin typeface="Arial" pitchFamily="34" charset="0"/>
          <a:cs typeface="Arial" pitchFamily="34" charset="0"/>
        </a:defRPr>
      </a:pPr>
      <a:endParaRPr lang="ja-JP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fmlaLink="$O$8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228600</xdr:colOff>
      <xdr:row>10</xdr:row>
      <xdr:rowOff>9525</xdr:rowOff>
    </xdr:from>
    <xdr:to>
      <xdr:col>12</xdr:col>
      <xdr:colOff>114300</xdr:colOff>
      <xdr:row>12</xdr:row>
      <xdr:rowOff>47625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Any angle</a:t>
          </a:r>
        </a:p>
      </xdr:txBody>
    </xdr:sp>
    <xdr:clientData fPrintsWithSheet="0"/>
  </xdr:twoCellAnchor>
  <xdr:twoCellAnchor>
    <xdr:from>
      <xdr:col>10</xdr:col>
      <xdr:colOff>0</xdr:colOff>
      <xdr:row>8</xdr:row>
      <xdr:rowOff>161925</xdr:rowOff>
    </xdr:from>
    <xdr:to>
      <xdr:col>12</xdr:col>
      <xdr:colOff>342900</xdr:colOff>
      <xdr:row>13</xdr:row>
      <xdr:rowOff>47625</xdr:rowOff>
    </xdr:to>
    <xdr:sp macro="" textlink="">
      <xdr:nvSpPr>
        <xdr:cNvPr id="2" name="正方形/長方形 1"/>
        <xdr:cNvSpPr/>
      </xdr:nvSpPr>
      <xdr:spPr>
        <a:xfrm>
          <a:off x="6858000" y="676275"/>
          <a:ext cx="1714500" cy="7429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228600</xdr:colOff>
      <xdr:row>10</xdr:row>
      <xdr:rowOff>19050</xdr:rowOff>
    </xdr:from>
    <xdr:to>
      <xdr:col>15</xdr:col>
      <xdr:colOff>114300</xdr:colOff>
      <xdr:row>12</xdr:row>
      <xdr:rowOff>57150</xdr:rowOff>
    </xdr:to>
    <xdr:sp macro="" textlink="">
      <xdr:nvSpPr>
        <xdr:cNvPr id="3074" name="Button 2" hidden="1">
          <a:extLst>
            <a:ext uri="{63B3BB69-23CF-44E3-9099-C40C66FF867C}">
              <a14:compatExt xmlns:a14="http://schemas.microsoft.com/office/drawing/2010/main" spid="_x0000_s3074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Save Customer</a:t>
          </a:r>
        </a:p>
      </xdr:txBody>
    </xdr:sp>
    <xdr:clientData fPrintsWithSheet="0"/>
  </xdr:twoCellAnchor>
  <xdr:twoCellAnchor>
    <xdr:from>
      <xdr:col>13</xdr:col>
      <xdr:colOff>0</xdr:colOff>
      <xdr:row>9</xdr:row>
      <xdr:rowOff>0</xdr:rowOff>
    </xdr:from>
    <xdr:to>
      <xdr:col>15</xdr:col>
      <xdr:colOff>342900</xdr:colOff>
      <xdr:row>13</xdr:row>
      <xdr:rowOff>57150</xdr:rowOff>
    </xdr:to>
    <xdr:sp macro="" textlink="">
      <xdr:nvSpPr>
        <xdr:cNvPr id="5" name="正方形/長方形 4"/>
        <xdr:cNvSpPr/>
      </xdr:nvSpPr>
      <xdr:spPr>
        <a:xfrm>
          <a:off x="8915400" y="685800"/>
          <a:ext cx="1714500" cy="7429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10</xdr:col>
      <xdr:colOff>133350</xdr:colOff>
      <xdr:row>5</xdr:row>
      <xdr:rowOff>0</xdr:rowOff>
    </xdr:from>
    <xdr:to>
      <xdr:col>12</xdr:col>
      <xdr:colOff>19050</xdr:colOff>
      <xdr:row>7</xdr:row>
      <xdr:rowOff>0</xdr:rowOff>
    </xdr:to>
    <xdr:sp macro="" textlink="">
      <xdr:nvSpPr>
        <xdr:cNvPr id="3076" name="Option Button 4" hidden="1">
          <a:extLst>
            <a:ext uri="{63B3BB69-23CF-44E3-9099-C40C66FF867C}">
              <a14:compatExt xmlns:a14="http://schemas.microsoft.com/office/drawing/2010/main" spid="_x0000_s307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val="F8F8F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Meiryo UI"/>
              <a:ea typeface="Meiryo UI"/>
            </a:rPr>
            <a:t> ADVANTEST</a:t>
          </a:r>
        </a:p>
      </xdr:txBody>
    </xdr:sp>
    <xdr:clientData/>
  </xdr:twoCellAnchor>
  <xdr:twoCellAnchor editAs="oneCell">
    <xdr:from>
      <xdr:col>12</xdr:col>
      <xdr:colOff>361950</xdr:colOff>
      <xdr:row>5</xdr:row>
      <xdr:rowOff>0</xdr:rowOff>
    </xdr:from>
    <xdr:to>
      <xdr:col>14</xdr:col>
      <xdr:colOff>247650</xdr:colOff>
      <xdr:row>7</xdr:row>
      <xdr:rowOff>0</xdr:rowOff>
    </xdr:to>
    <xdr:sp macro="" textlink="">
      <xdr:nvSpPr>
        <xdr:cNvPr id="3077" name="Option Button 5" hidden="1">
          <a:extLst>
            <a:ext uri="{63B3BB69-23CF-44E3-9099-C40C66FF867C}">
              <a14:compatExt xmlns:a14="http://schemas.microsoft.com/office/drawing/2010/main" spid="_x0000_s307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val="F8F8F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Meiryo UI"/>
              <a:ea typeface="Meiryo UI"/>
            </a:rPr>
            <a:t>     HOLON</a:t>
          </a:r>
        </a:p>
      </xdr:txBody>
    </xdr:sp>
    <xdr:clientData/>
  </xdr:twoCellAnchor>
  <xdr:twoCellAnchor>
    <xdr:from>
      <xdr:col>17</xdr:col>
      <xdr:colOff>161925</xdr:colOff>
      <xdr:row>13</xdr:row>
      <xdr:rowOff>142875</xdr:rowOff>
    </xdr:from>
    <xdr:to>
      <xdr:col>22</xdr:col>
      <xdr:colOff>161925</xdr:colOff>
      <xdr:row>17</xdr:row>
      <xdr:rowOff>142875</xdr:rowOff>
    </xdr:to>
    <xdr:sp macro="" textlink="">
      <xdr:nvSpPr>
        <xdr:cNvPr id="3075" name="Group Box 3" hidden="1">
          <a:extLst>
            <a:ext uri="{63B3BB69-23CF-44E3-9099-C40C66FF867C}">
              <a14:compatExt xmlns:a14="http://schemas.microsoft.com/office/drawing/2010/main" spid="_x0000_s3075"/>
            </a:ext>
          </a:extLst>
        </xdr:cNvPr>
        <xdr:cNvSpPr/>
      </xdr:nvSpPr>
      <xdr:spPr bwMode="auto">
        <a:xfrm>
          <a:off x="11820525" y="2371725"/>
          <a:ext cx="3429000" cy="685800"/>
        </a:xfrm>
        <a:prstGeom prst="rect">
          <a:avLst/>
        </a:prstGeom>
        <a:noFill/>
        <a:ln w="9525"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</xdr:row>
          <xdr:rowOff>12700</xdr:rowOff>
        </xdr:from>
        <xdr:to>
          <xdr:col>12</xdr:col>
          <xdr:colOff>114300</xdr:colOff>
          <xdr:row>12</xdr:row>
          <xdr:rowOff>50800</xdr:rowOff>
        </xdr:to>
        <xdr:sp macro="" textlink="">
          <xdr:nvSpPr>
            <xdr:cNvPr id="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Any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10</xdr:row>
          <xdr:rowOff>19050</xdr:rowOff>
        </xdr:from>
        <xdr:to>
          <xdr:col>15</xdr:col>
          <xdr:colOff>114300</xdr:colOff>
          <xdr:row>12</xdr:row>
          <xdr:rowOff>57150</xdr:rowOff>
        </xdr:to>
        <xdr:sp macro="" textlink="">
          <xdr:nvSpPr>
            <xdr:cNvPr id="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Save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133350</xdr:colOff>
          <xdr:row>5</xdr:row>
          <xdr:rowOff>0</xdr:rowOff>
        </xdr:from>
        <xdr:to>
          <xdr:col>12</xdr:col>
          <xdr:colOff>19050</xdr:colOff>
          <xdr:row>7</xdr:row>
          <xdr:rowOff>0</xdr:rowOff>
        </xdr:to>
        <xdr:sp macro="" textlink="">
          <xdr:nvSpPr>
            <xdr:cNvPr id="6" name="Option 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ADVANTEST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361950</xdr:colOff>
          <xdr:row>5</xdr:row>
          <xdr:rowOff>0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7" name="Option 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8F8F8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    HOLON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31750</xdr:rowOff>
        </xdr:from>
        <xdr:to>
          <xdr:col>14</xdr:col>
          <xdr:colOff>660400</xdr:colOff>
          <xdr:row>8</xdr:row>
          <xdr:rowOff>0</xdr:rowOff>
        </xdr:to>
        <xdr:sp macro="" textlink="">
          <xdr:nvSpPr>
            <xdr:cNvPr id="8" name="Group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3</xdr:col>
      <xdr:colOff>288925</xdr:colOff>
      <xdr:row>9</xdr:row>
      <xdr:rowOff>105136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95375"/>
          <a:ext cx="2924175" cy="6480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639535</xdr:colOff>
      <xdr:row>86</xdr:row>
      <xdr:rowOff>122466</xdr:rowOff>
    </xdr:from>
    <xdr:to>
      <xdr:col>25</xdr:col>
      <xdr:colOff>381000</xdr:colOff>
      <xdr:row>90</xdr:row>
      <xdr:rowOff>81350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92892" y="15607395"/>
          <a:ext cx="3007179" cy="666456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0</xdr:row>
      <xdr:rowOff>0</xdr:rowOff>
    </xdr:from>
    <xdr:to>
      <xdr:col>33</xdr:col>
      <xdr:colOff>449405</xdr:colOff>
      <xdr:row>17</xdr:row>
      <xdr:rowOff>152757</xdr:rowOff>
    </xdr:to>
    <xdr:graphicFrame macro="">
      <xdr:nvGraphicFramePr>
        <xdr:cNvPr id="19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0</xdr:colOff>
      <xdr:row>0</xdr:row>
      <xdr:rowOff>0</xdr:rowOff>
    </xdr:from>
    <xdr:to>
      <xdr:col>42</xdr:col>
      <xdr:colOff>189633</xdr:colOff>
      <xdr:row>17</xdr:row>
      <xdr:rowOff>152757</xdr:rowOff>
    </xdr:to>
    <xdr:graphicFrame macro="">
      <xdr:nvGraphicFramePr>
        <xdr:cNvPr id="21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44</xdr:col>
      <xdr:colOff>0</xdr:colOff>
      <xdr:row>2</xdr:row>
      <xdr:rowOff>0</xdr:rowOff>
    </xdr:from>
    <xdr:to>
      <xdr:col>51</xdr:col>
      <xdr:colOff>550909</xdr:colOff>
      <xdr:row>20</xdr:row>
      <xdr:rowOff>70772</xdr:rowOff>
    </xdr:to>
    <xdr:graphicFrame macro="">
      <xdr:nvGraphicFramePr>
        <xdr:cNvPr id="2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0</xdr:colOff>
      <xdr:row>21</xdr:row>
      <xdr:rowOff>17319</xdr:rowOff>
    </xdr:from>
    <xdr:to>
      <xdr:col>51</xdr:col>
      <xdr:colOff>550909</xdr:colOff>
      <xdr:row>39</xdr:row>
      <xdr:rowOff>140047</xdr:rowOff>
    </xdr:to>
    <xdr:graphicFrame macro="">
      <xdr:nvGraphicFramePr>
        <xdr:cNvPr id="27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0</xdr:colOff>
      <xdr:row>2</xdr:row>
      <xdr:rowOff>17319</xdr:rowOff>
    </xdr:from>
    <xdr:to>
      <xdr:col>59</xdr:col>
      <xdr:colOff>550909</xdr:colOff>
      <xdr:row>20</xdr:row>
      <xdr:rowOff>70773</xdr:rowOff>
    </xdr:to>
    <xdr:graphicFrame macro="">
      <xdr:nvGraphicFramePr>
        <xdr:cNvPr id="29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52</xdr:col>
      <xdr:colOff>0</xdr:colOff>
      <xdr:row>21</xdr:row>
      <xdr:rowOff>17320</xdr:rowOff>
    </xdr:from>
    <xdr:to>
      <xdr:col>59</xdr:col>
      <xdr:colOff>550909</xdr:colOff>
      <xdr:row>39</xdr:row>
      <xdr:rowOff>140048</xdr:rowOff>
    </xdr:to>
    <xdr:graphicFrame macro="">
      <xdr:nvGraphicFramePr>
        <xdr:cNvPr id="30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60</xdr:col>
      <xdr:colOff>0</xdr:colOff>
      <xdr:row>2</xdr:row>
      <xdr:rowOff>17319</xdr:rowOff>
    </xdr:from>
    <xdr:to>
      <xdr:col>67</xdr:col>
      <xdr:colOff>550909</xdr:colOff>
      <xdr:row>20</xdr:row>
      <xdr:rowOff>70773</xdr:rowOff>
    </xdr:to>
    <xdr:graphicFrame macro="">
      <xdr:nvGraphicFramePr>
        <xdr:cNvPr id="31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60</xdr:col>
      <xdr:colOff>0</xdr:colOff>
      <xdr:row>21</xdr:row>
      <xdr:rowOff>17319</xdr:rowOff>
    </xdr:from>
    <xdr:to>
      <xdr:col>67</xdr:col>
      <xdr:colOff>550909</xdr:colOff>
      <xdr:row>39</xdr:row>
      <xdr:rowOff>140047</xdr:rowOff>
    </xdr:to>
    <xdr:graphicFrame macro="">
      <xdr:nvGraphicFramePr>
        <xdr:cNvPr id="3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41</xdr:row>
      <xdr:rowOff>17319</xdr:rowOff>
    </xdr:from>
    <xdr:to>
      <xdr:col>51</xdr:col>
      <xdr:colOff>550909</xdr:colOff>
      <xdr:row>59</xdr:row>
      <xdr:rowOff>88091</xdr:rowOff>
    </xdr:to>
    <xdr:graphicFrame macro="">
      <xdr:nvGraphicFramePr>
        <xdr:cNvPr id="33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</xdr:col>
      <xdr:colOff>0</xdr:colOff>
      <xdr:row>62</xdr:row>
      <xdr:rowOff>17319</xdr:rowOff>
    </xdr:from>
    <xdr:to>
      <xdr:col>51</xdr:col>
      <xdr:colOff>536864</xdr:colOff>
      <xdr:row>80</xdr:row>
      <xdr:rowOff>86592</xdr:rowOff>
    </xdr:to>
    <xdr:graphicFrame macro="">
      <xdr:nvGraphicFramePr>
        <xdr:cNvPr id="34" name="グラフ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52</xdr:col>
      <xdr:colOff>0</xdr:colOff>
      <xdr:row>62</xdr:row>
      <xdr:rowOff>17319</xdr:rowOff>
    </xdr:from>
    <xdr:to>
      <xdr:col>59</xdr:col>
      <xdr:colOff>536864</xdr:colOff>
      <xdr:row>80</xdr:row>
      <xdr:rowOff>86592</xdr:rowOff>
    </xdr:to>
    <xdr:graphicFrame macro="">
      <xdr:nvGraphicFramePr>
        <xdr:cNvPr id="35" name="グラフ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60</xdr:col>
      <xdr:colOff>0</xdr:colOff>
      <xdr:row>62</xdr:row>
      <xdr:rowOff>17319</xdr:rowOff>
    </xdr:from>
    <xdr:to>
      <xdr:col>67</xdr:col>
      <xdr:colOff>536864</xdr:colOff>
      <xdr:row>80</xdr:row>
      <xdr:rowOff>86592</xdr:rowOff>
    </xdr:to>
    <xdr:graphicFrame macro="">
      <xdr:nvGraphicFramePr>
        <xdr:cNvPr id="36" name="グラフ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68</xdr:col>
      <xdr:colOff>0</xdr:colOff>
      <xdr:row>62</xdr:row>
      <xdr:rowOff>0</xdr:rowOff>
    </xdr:from>
    <xdr:to>
      <xdr:col>75</xdr:col>
      <xdr:colOff>536864</xdr:colOff>
      <xdr:row>80</xdr:row>
      <xdr:rowOff>69273</xdr:rowOff>
    </xdr:to>
    <xdr:graphicFrame macro="">
      <xdr:nvGraphicFramePr>
        <xdr:cNvPr id="15" name="グラフ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14</xdr:row>
      <xdr:rowOff>0</xdr:rowOff>
    </xdr:from>
    <xdr:to>
      <xdr:col>10</xdr:col>
      <xdr:colOff>188148</xdr:colOff>
      <xdr:row>33</xdr:row>
      <xdr:rowOff>3675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480199</xdr:colOff>
      <xdr:row>4</xdr:row>
      <xdr:rowOff>9525</xdr:rowOff>
    </xdr:to>
    <xdr:pic>
      <xdr:nvPicPr>
        <xdr:cNvPr id="5" name="図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223399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01"/>
  <sheetViews>
    <sheetView showGridLines="0" zoomScaleNormal="100" workbookViewId="0">
      <selection activeCell="F11" sqref="F11"/>
    </sheetView>
  </sheetViews>
  <sheetFormatPr defaultRowHeight="13" x14ac:dyDescent="0.2"/>
  <sheetData>
    <row r="1" spans="1:20" x14ac:dyDescent="0.2">
      <c r="A1" t="str">
        <f ca="1">INDIRECT("l"&amp;$O$8,TRUE)</f>
        <v>&lt;COLA&gt;</v>
      </c>
      <c r="B1" t="str">
        <f ca="1">INDIRECT("m"&amp;$O$8,TRUE)</f>
        <v>&lt;ROWA&gt;</v>
      </c>
      <c r="C1" t="str">
        <f ca="1">INDIRECT("n"&amp;$O$8,TRUE)</f>
        <v>&lt;SITE&gt;</v>
      </c>
      <c r="D1" t="str">
        <f ca="1">INDIRECT("o"&amp;$O$8,TRUE)</f>
        <v>-</v>
      </c>
      <c r="E1" t="str">
        <f ca="1">INDIRECT("p"&amp;$O$8,TRUE)</f>
        <v>&lt;CD_1&gt;</v>
      </c>
      <c r="F1" t="str">
        <f ca="1">INDIRECT("q"&amp;$O$8,TRUE)</f>
        <v>&lt;CD_2&gt;</v>
      </c>
      <c r="G1" t="str">
        <f ca="1">INDIRECT("r"&amp;$O$8,TRUE)</f>
        <v>&lt;CD_3&gt;</v>
      </c>
      <c r="H1" t="str">
        <f ca="1">INDIRECT("s"&amp;$O$8,TRUE)</f>
        <v>&lt;CD_4&gt;</v>
      </c>
      <c r="I1" t="str">
        <f ca="1">INDIRECT("t"&amp;$O$8,TRUE)</f>
        <v>&lt;CD_6&gt;</v>
      </c>
      <c r="K1" s="47" t="s">
        <v>14</v>
      </c>
      <c r="L1" s="48" t="s">
        <v>15</v>
      </c>
      <c r="M1" s="48" t="s">
        <v>16</v>
      </c>
      <c r="N1" s="48" t="s">
        <v>17</v>
      </c>
      <c r="O1" s="48" t="s">
        <v>18</v>
      </c>
      <c r="P1" s="48" t="s">
        <v>19</v>
      </c>
      <c r="Q1" s="48" t="s">
        <v>20</v>
      </c>
      <c r="R1" s="48" t="s">
        <v>21</v>
      </c>
      <c r="S1" s="48" t="s">
        <v>23</v>
      </c>
      <c r="T1" s="48" t="s">
        <v>27</v>
      </c>
    </row>
    <row r="2" spans="1:20" x14ac:dyDescent="0.2">
      <c r="A2">
        <v>1</v>
      </c>
      <c r="B2">
        <v>1</v>
      </c>
      <c r="C2">
        <v>1</v>
      </c>
      <c r="E2">
        <v>80.801000000000002</v>
      </c>
      <c r="F2">
        <v>95.391999999999996</v>
      </c>
      <c r="G2">
        <v>176.136</v>
      </c>
      <c r="H2">
        <v>2.008</v>
      </c>
      <c r="I2">
        <v>1.585</v>
      </c>
      <c r="K2" s="47" t="s">
        <v>22</v>
      </c>
      <c r="L2" s="48" t="s">
        <v>36</v>
      </c>
      <c r="M2" s="48" t="s">
        <v>37</v>
      </c>
      <c r="N2" s="48" t="s">
        <v>38</v>
      </c>
      <c r="O2" s="48" t="s">
        <v>44</v>
      </c>
      <c r="P2" s="48" t="s">
        <v>39</v>
      </c>
      <c r="Q2" s="48" t="s">
        <v>40</v>
      </c>
      <c r="R2" s="48" t="s">
        <v>41</v>
      </c>
      <c r="S2" s="48" t="s">
        <v>42</v>
      </c>
      <c r="T2" s="48" t="s">
        <v>43</v>
      </c>
    </row>
    <row r="3" spans="1:20" x14ac:dyDescent="0.2">
      <c r="A3">
        <v>1</v>
      </c>
      <c r="B3">
        <v>1</v>
      </c>
      <c r="C3">
        <v>2</v>
      </c>
      <c r="E3">
        <v>80.918000000000006</v>
      </c>
      <c r="F3">
        <v>95.47</v>
      </c>
      <c r="G3">
        <v>176.44499999999999</v>
      </c>
      <c r="H3">
        <v>1.147</v>
      </c>
      <c r="I3">
        <v>1.41</v>
      </c>
    </row>
    <row r="4" spans="1:20" x14ac:dyDescent="0.2">
      <c r="A4">
        <v>1</v>
      </c>
      <c r="B4">
        <v>1</v>
      </c>
      <c r="C4">
        <v>3</v>
      </c>
      <c r="E4">
        <v>80.69</v>
      </c>
      <c r="F4">
        <v>95.421000000000006</v>
      </c>
      <c r="G4">
        <v>176.114</v>
      </c>
      <c r="H4">
        <v>1.504</v>
      </c>
      <c r="I4">
        <v>1.1779999999999999</v>
      </c>
    </row>
    <row r="5" spans="1:20" x14ac:dyDescent="0.2">
      <c r="A5">
        <v>1</v>
      </c>
      <c r="B5">
        <v>1</v>
      </c>
      <c r="C5">
        <v>4</v>
      </c>
      <c r="E5">
        <v>80.653999999999996</v>
      </c>
      <c r="F5">
        <v>95.325999999999993</v>
      </c>
      <c r="G5">
        <v>176.03899999999999</v>
      </c>
      <c r="H5">
        <v>1.294</v>
      </c>
      <c r="I5">
        <v>1.3420000000000001</v>
      </c>
      <c r="K5" s="60"/>
      <c r="L5" s="60"/>
      <c r="M5" s="60"/>
      <c r="N5" s="60"/>
      <c r="O5" s="60"/>
    </row>
    <row r="6" spans="1:20" x14ac:dyDescent="0.2">
      <c r="A6">
        <v>1</v>
      </c>
      <c r="B6">
        <v>1</v>
      </c>
      <c r="C6">
        <v>5</v>
      </c>
      <c r="E6">
        <v>80.902000000000001</v>
      </c>
      <c r="F6">
        <v>94.921000000000006</v>
      </c>
      <c r="G6">
        <v>175.881</v>
      </c>
      <c r="H6">
        <v>1.2949999999999999</v>
      </c>
      <c r="I6">
        <v>1.597</v>
      </c>
      <c r="K6" s="60"/>
      <c r="L6" s="60"/>
      <c r="M6" s="60"/>
      <c r="N6" s="60"/>
      <c r="O6" s="60"/>
    </row>
    <row r="7" spans="1:20" x14ac:dyDescent="0.2">
      <c r="A7">
        <v>1</v>
      </c>
      <c r="B7">
        <v>1</v>
      </c>
      <c r="C7">
        <v>6</v>
      </c>
      <c r="E7">
        <v>81.094999999999999</v>
      </c>
      <c r="F7">
        <v>95.254999999999995</v>
      </c>
      <c r="G7">
        <v>176.41</v>
      </c>
      <c r="H7">
        <v>0.90100000000000002</v>
      </c>
      <c r="I7">
        <v>1.486</v>
      </c>
      <c r="K7" s="60"/>
      <c r="L7" s="60"/>
      <c r="M7" s="60"/>
      <c r="N7" s="60"/>
      <c r="O7" s="60"/>
    </row>
    <row r="8" spans="1:20" x14ac:dyDescent="0.2">
      <c r="A8">
        <v>1</v>
      </c>
      <c r="B8">
        <v>1</v>
      </c>
      <c r="C8">
        <v>7</v>
      </c>
      <c r="E8">
        <v>81.236000000000004</v>
      </c>
      <c r="F8">
        <v>95.248999999999995</v>
      </c>
      <c r="G8">
        <v>176.50899999999999</v>
      </c>
      <c r="H8">
        <v>1.1459999999999999</v>
      </c>
      <c r="I8">
        <v>1.75</v>
      </c>
      <c r="K8" s="60"/>
      <c r="L8" s="60"/>
      <c r="M8" s="60"/>
      <c r="N8" s="60"/>
      <c r="O8" s="61">
        <v>1</v>
      </c>
    </row>
    <row r="9" spans="1:20" x14ac:dyDescent="0.2">
      <c r="A9">
        <v>1</v>
      </c>
      <c r="B9">
        <v>1</v>
      </c>
      <c r="C9">
        <v>8</v>
      </c>
      <c r="E9">
        <v>80.936000000000007</v>
      </c>
      <c r="F9">
        <v>95.266000000000005</v>
      </c>
      <c r="G9">
        <v>176.21700000000001</v>
      </c>
      <c r="H9">
        <v>1.3160000000000001</v>
      </c>
      <c r="I9">
        <v>1.478</v>
      </c>
    </row>
    <row r="10" spans="1:20" x14ac:dyDescent="0.2">
      <c r="A10">
        <v>1</v>
      </c>
      <c r="B10">
        <v>1</v>
      </c>
      <c r="C10">
        <v>9</v>
      </c>
      <c r="E10">
        <v>81.051000000000002</v>
      </c>
      <c r="F10">
        <v>95.248000000000005</v>
      </c>
      <c r="G10">
        <v>176.23599999999999</v>
      </c>
      <c r="H10">
        <v>1.548</v>
      </c>
      <c r="I10">
        <v>1.6519999999999999</v>
      </c>
    </row>
    <row r="11" spans="1:20" x14ac:dyDescent="0.2">
      <c r="A11">
        <v>1</v>
      </c>
      <c r="B11">
        <v>1</v>
      </c>
      <c r="C11">
        <v>10</v>
      </c>
      <c r="E11">
        <v>80.849000000000004</v>
      </c>
      <c r="F11">
        <v>95.436000000000007</v>
      </c>
      <c r="G11">
        <v>176.279</v>
      </c>
      <c r="H11">
        <v>1.2310000000000001</v>
      </c>
      <c r="I11">
        <v>1.196</v>
      </c>
    </row>
    <row r="12" spans="1:20" x14ac:dyDescent="0.2">
      <c r="A12">
        <v>1</v>
      </c>
      <c r="B12">
        <v>1</v>
      </c>
      <c r="C12">
        <v>11</v>
      </c>
      <c r="E12">
        <v>80.548000000000002</v>
      </c>
      <c r="F12">
        <v>95.427000000000007</v>
      </c>
      <c r="G12">
        <v>175.988</v>
      </c>
      <c r="H12">
        <v>1.298</v>
      </c>
      <c r="I12">
        <v>1.8340000000000001</v>
      </c>
    </row>
    <row r="13" spans="1:20" x14ac:dyDescent="0.2">
      <c r="A13">
        <v>1</v>
      </c>
      <c r="B13">
        <v>1</v>
      </c>
      <c r="C13">
        <v>12</v>
      </c>
      <c r="E13">
        <v>80.927999999999997</v>
      </c>
      <c r="F13">
        <v>95.096999999999994</v>
      </c>
      <c r="G13">
        <v>176.04400000000001</v>
      </c>
      <c r="H13">
        <v>1.4990000000000001</v>
      </c>
      <c r="I13">
        <v>1.127</v>
      </c>
    </row>
    <row r="14" spans="1:20" x14ac:dyDescent="0.2">
      <c r="A14">
        <v>1</v>
      </c>
      <c r="B14">
        <v>1</v>
      </c>
      <c r="C14">
        <v>13</v>
      </c>
      <c r="E14">
        <v>80.697000000000003</v>
      </c>
      <c r="F14">
        <v>95.314999999999998</v>
      </c>
      <c r="G14">
        <v>175.935</v>
      </c>
      <c r="H14">
        <v>1.524</v>
      </c>
      <c r="I14">
        <v>1.0449999999999999</v>
      </c>
    </row>
    <row r="15" spans="1:20" x14ac:dyDescent="0.2">
      <c r="A15">
        <v>1</v>
      </c>
      <c r="B15">
        <v>1</v>
      </c>
      <c r="C15">
        <v>14</v>
      </c>
      <c r="E15">
        <v>80.587000000000003</v>
      </c>
      <c r="F15">
        <v>95.289000000000001</v>
      </c>
      <c r="G15">
        <v>175.904</v>
      </c>
      <c r="H15">
        <v>1.492</v>
      </c>
      <c r="I15">
        <v>1.776</v>
      </c>
    </row>
    <row r="16" spans="1:20" x14ac:dyDescent="0.2">
      <c r="A16">
        <v>1</v>
      </c>
      <c r="B16">
        <v>1</v>
      </c>
      <c r="C16">
        <v>15</v>
      </c>
      <c r="E16">
        <v>80.796000000000006</v>
      </c>
      <c r="F16">
        <v>95.302000000000007</v>
      </c>
      <c r="G16">
        <v>176.09299999999999</v>
      </c>
      <c r="H16">
        <v>1.175</v>
      </c>
      <c r="I16">
        <v>1.4450000000000001</v>
      </c>
    </row>
    <row r="17" spans="1:9" x14ac:dyDescent="0.2">
      <c r="A17">
        <v>1</v>
      </c>
      <c r="B17">
        <v>1</v>
      </c>
      <c r="C17">
        <v>16</v>
      </c>
      <c r="E17">
        <v>80.94</v>
      </c>
      <c r="F17">
        <v>95.239000000000004</v>
      </c>
      <c r="G17">
        <v>176.27099999999999</v>
      </c>
      <c r="H17">
        <v>1.8240000000000001</v>
      </c>
      <c r="I17">
        <v>1.375</v>
      </c>
    </row>
    <row r="18" spans="1:9" x14ac:dyDescent="0.2">
      <c r="A18">
        <v>1</v>
      </c>
      <c r="B18">
        <v>1</v>
      </c>
      <c r="C18">
        <v>17</v>
      </c>
      <c r="E18">
        <v>80.853999999999999</v>
      </c>
      <c r="F18">
        <v>95.363</v>
      </c>
      <c r="G18">
        <v>176.21199999999999</v>
      </c>
      <c r="H18">
        <v>1.2969999999999999</v>
      </c>
      <c r="I18">
        <v>1.34</v>
      </c>
    </row>
    <row r="19" spans="1:9" x14ac:dyDescent="0.2">
      <c r="A19">
        <v>1</v>
      </c>
      <c r="B19">
        <v>1</v>
      </c>
      <c r="C19">
        <v>18</v>
      </c>
      <c r="E19">
        <v>81.259</v>
      </c>
      <c r="F19">
        <v>94.986000000000004</v>
      </c>
      <c r="G19">
        <v>176.262</v>
      </c>
      <c r="H19">
        <v>1.6259999999999999</v>
      </c>
      <c r="I19">
        <v>1.3620000000000001</v>
      </c>
    </row>
    <row r="20" spans="1:9" x14ac:dyDescent="0.2">
      <c r="A20">
        <v>1</v>
      </c>
      <c r="B20">
        <v>1</v>
      </c>
      <c r="C20">
        <v>19</v>
      </c>
      <c r="E20">
        <v>81.275000000000006</v>
      </c>
      <c r="F20">
        <v>94.966999999999999</v>
      </c>
      <c r="G20">
        <v>176.31399999999999</v>
      </c>
      <c r="H20">
        <v>1.5109999999999999</v>
      </c>
      <c r="I20">
        <v>1.425</v>
      </c>
    </row>
    <row r="21" spans="1:9" x14ac:dyDescent="0.2">
      <c r="A21">
        <v>1</v>
      </c>
      <c r="B21">
        <v>1</v>
      </c>
      <c r="C21">
        <v>20</v>
      </c>
      <c r="E21">
        <v>81.033000000000001</v>
      </c>
      <c r="F21">
        <v>95.114999999999995</v>
      </c>
      <c r="G21">
        <v>176.125</v>
      </c>
      <c r="H21">
        <v>1.427</v>
      </c>
      <c r="I21">
        <v>1.835</v>
      </c>
    </row>
    <row r="22" spans="1:9" x14ac:dyDescent="0.2">
      <c r="A22">
        <v>1</v>
      </c>
      <c r="B22">
        <v>1</v>
      </c>
      <c r="C22">
        <v>21</v>
      </c>
      <c r="E22">
        <v>80.367999999999995</v>
      </c>
      <c r="F22">
        <v>95.385000000000005</v>
      </c>
      <c r="G22">
        <v>175.696</v>
      </c>
      <c r="H22">
        <v>1.304</v>
      </c>
      <c r="I22">
        <v>1.256</v>
      </c>
    </row>
    <row r="23" spans="1:9" x14ac:dyDescent="0.2">
      <c r="A23">
        <v>1</v>
      </c>
      <c r="B23">
        <v>1</v>
      </c>
      <c r="C23">
        <v>22</v>
      </c>
      <c r="E23">
        <v>81.111000000000004</v>
      </c>
      <c r="F23">
        <v>94.98</v>
      </c>
      <c r="G23">
        <v>176.07400000000001</v>
      </c>
      <c r="H23">
        <v>1.339</v>
      </c>
      <c r="I23">
        <v>1.458</v>
      </c>
    </row>
    <row r="24" spans="1:9" x14ac:dyDescent="0.2">
      <c r="A24">
        <v>1</v>
      </c>
      <c r="B24">
        <v>1</v>
      </c>
      <c r="C24">
        <v>23</v>
      </c>
      <c r="E24">
        <v>81.114999999999995</v>
      </c>
      <c r="F24">
        <v>95.049000000000007</v>
      </c>
      <c r="G24">
        <v>176.13</v>
      </c>
      <c r="H24">
        <v>1.379</v>
      </c>
      <c r="I24">
        <v>1.3049999999999999</v>
      </c>
    </row>
    <row r="25" spans="1:9" x14ac:dyDescent="0.2">
      <c r="A25">
        <v>1</v>
      </c>
      <c r="B25">
        <v>1</v>
      </c>
      <c r="C25">
        <v>24</v>
      </c>
      <c r="E25">
        <v>81.364999999999995</v>
      </c>
      <c r="F25">
        <v>94.894000000000005</v>
      </c>
      <c r="G25">
        <v>176.23400000000001</v>
      </c>
      <c r="H25">
        <v>1.611</v>
      </c>
      <c r="I25">
        <v>1.488</v>
      </c>
    </row>
    <row r="26" spans="1:9" x14ac:dyDescent="0.2">
      <c r="A26">
        <v>1</v>
      </c>
      <c r="B26">
        <v>1</v>
      </c>
      <c r="C26">
        <v>25</v>
      </c>
      <c r="E26">
        <v>81.114999999999995</v>
      </c>
      <c r="F26">
        <v>94.924000000000007</v>
      </c>
      <c r="G26">
        <v>176.017</v>
      </c>
      <c r="H26">
        <v>1.649</v>
      </c>
      <c r="I26">
        <v>1.6910000000000001</v>
      </c>
    </row>
    <row r="27" spans="1:9" x14ac:dyDescent="0.2">
      <c r="A27">
        <v>1</v>
      </c>
      <c r="B27">
        <v>1</v>
      </c>
      <c r="C27">
        <v>26</v>
      </c>
      <c r="E27">
        <v>81.188999999999993</v>
      </c>
      <c r="F27">
        <v>95.185000000000002</v>
      </c>
      <c r="G27">
        <v>176.422</v>
      </c>
      <c r="H27">
        <v>1.9850000000000001</v>
      </c>
      <c r="I27">
        <v>1.9</v>
      </c>
    </row>
    <row r="28" spans="1:9" x14ac:dyDescent="0.2">
      <c r="A28">
        <v>1</v>
      </c>
      <c r="B28">
        <v>1</v>
      </c>
      <c r="C28">
        <v>27</v>
      </c>
      <c r="E28">
        <v>81.162999999999997</v>
      </c>
      <c r="F28">
        <v>94.915999999999997</v>
      </c>
      <c r="G28">
        <v>176.01900000000001</v>
      </c>
      <c r="H28">
        <v>1.897</v>
      </c>
      <c r="I28">
        <v>2.1920000000000002</v>
      </c>
    </row>
    <row r="29" spans="1:9" x14ac:dyDescent="0.2">
      <c r="A29">
        <v>1</v>
      </c>
      <c r="B29">
        <v>1</v>
      </c>
      <c r="C29">
        <v>28</v>
      </c>
      <c r="E29">
        <v>80.867999999999995</v>
      </c>
      <c r="F29">
        <v>95.054000000000002</v>
      </c>
      <c r="G29">
        <v>175.93700000000001</v>
      </c>
      <c r="H29">
        <v>1.9039999999999999</v>
      </c>
      <c r="I29">
        <v>2.2570000000000001</v>
      </c>
    </row>
    <row r="30" spans="1:9" x14ac:dyDescent="0.2">
      <c r="A30">
        <v>1</v>
      </c>
      <c r="B30">
        <v>1</v>
      </c>
      <c r="C30">
        <v>29</v>
      </c>
      <c r="E30">
        <v>81.200999999999993</v>
      </c>
      <c r="F30">
        <v>94.603999999999999</v>
      </c>
      <c r="G30">
        <v>175.84399999999999</v>
      </c>
      <c r="H30">
        <v>2.3010000000000002</v>
      </c>
      <c r="I30">
        <v>1.427</v>
      </c>
    </row>
    <row r="31" spans="1:9" x14ac:dyDescent="0.2">
      <c r="A31">
        <v>1</v>
      </c>
      <c r="B31">
        <v>1</v>
      </c>
      <c r="C31">
        <v>30</v>
      </c>
      <c r="E31">
        <v>81.293999999999997</v>
      </c>
      <c r="F31">
        <v>94.896000000000001</v>
      </c>
      <c r="G31">
        <v>176.203</v>
      </c>
      <c r="H31">
        <v>1.76</v>
      </c>
      <c r="I31">
        <v>2.1859999999999999</v>
      </c>
    </row>
    <row r="32" spans="1:9" x14ac:dyDescent="0.2">
      <c r="A32">
        <v>1</v>
      </c>
      <c r="B32">
        <v>1</v>
      </c>
      <c r="C32">
        <v>31</v>
      </c>
      <c r="E32">
        <v>81.135999999999996</v>
      </c>
      <c r="F32">
        <v>94.632999999999996</v>
      </c>
      <c r="G32">
        <v>175.73</v>
      </c>
      <c r="H32">
        <v>2.738</v>
      </c>
      <c r="I32">
        <v>2.5299999999999998</v>
      </c>
    </row>
    <row r="33" spans="1:9" x14ac:dyDescent="0.2">
      <c r="A33">
        <v>1</v>
      </c>
      <c r="B33">
        <v>1</v>
      </c>
      <c r="C33">
        <v>32</v>
      </c>
      <c r="E33">
        <v>81.325000000000003</v>
      </c>
      <c r="F33">
        <v>94.706999999999994</v>
      </c>
      <c r="G33">
        <v>176.07499999999999</v>
      </c>
      <c r="H33">
        <v>2.101</v>
      </c>
      <c r="I33">
        <v>2.109</v>
      </c>
    </row>
    <row r="34" spans="1:9" x14ac:dyDescent="0.2">
      <c r="A34">
        <v>1</v>
      </c>
      <c r="B34">
        <v>1</v>
      </c>
      <c r="C34">
        <v>33</v>
      </c>
      <c r="E34">
        <v>81.186999999999998</v>
      </c>
      <c r="F34">
        <v>94.76</v>
      </c>
      <c r="G34">
        <v>175.97399999999999</v>
      </c>
      <c r="H34">
        <v>1.962</v>
      </c>
      <c r="I34">
        <v>2.46</v>
      </c>
    </row>
    <row r="35" spans="1:9" x14ac:dyDescent="0.2">
      <c r="A35">
        <v>1</v>
      </c>
      <c r="B35">
        <v>1</v>
      </c>
      <c r="C35">
        <v>34</v>
      </c>
      <c r="E35">
        <v>80.941999999999993</v>
      </c>
      <c r="F35">
        <v>94.819000000000003</v>
      </c>
      <c r="G35">
        <v>175.89099999999999</v>
      </c>
      <c r="H35">
        <v>2.1480000000000001</v>
      </c>
      <c r="I35">
        <v>1.992</v>
      </c>
    </row>
    <row r="36" spans="1:9" x14ac:dyDescent="0.2">
      <c r="A36">
        <v>1</v>
      </c>
      <c r="B36">
        <v>1</v>
      </c>
      <c r="C36">
        <v>35</v>
      </c>
      <c r="E36">
        <v>81.138000000000005</v>
      </c>
      <c r="F36">
        <v>94.593000000000004</v>
      </c>
      <c r="G36">
        <v>175.745</v>
      </c>
      <c r="H36">
        <v>1.518</v>
      </c>
      <c r="I36">
        <v>1.623</v>
      </c>
    </row>
    <row r="37" spans="1:9" x14ac:dyDescent="0.2">
      <c r="A37">
        <v>1</v>
      </c>
      <c r="B37">
        <v>1</v>
      </c>
      <c r="C37">
        <v>36</v>
      </c>
      <c r="E37">
        <v>81.048000000000002</v>
      </c>
      <c r="F37">
        <v>94.930999999999997</v>
      </c>
      <c r="G37">
        <v>175.98400000000001</v>
      </c>
      <c r="H37">
        <v>2.048</v>
      </c>
      <c r="I37">
        <v>1.879</v>
      </c>
    </row>
    <row r="38" spans="1:9" x14ac:dyDescent="0.2">
      <c r="A38">
        <v>1</v>
      </c>
      <c r="B38">
        <v>1</v>
      </c>
      <c r="C38">
        <v>37</v>
      </c>
      <c r="E38">
        <v>80.983000000000004</v>
      </c>
      <c r="F38">
        <v>94.972999999999999</v>
      </c>
      <c r="G38">
        <v>175.95500000000001</v>
      </c>
      <c r="H38">
        <v>2.1579999999999999</v>
      </c>
      <c r="I38">
        <v>1.7390000000000001</v>
      </c>
    </row>
    <row r="39" spans="1:9" x14ac:dyDescent="0.2">
      <c r="A39">
        <v>1</v>
      </c>
      <c r="B39">
        <v>1</v>
      </c>
      <c r="C39">
        <v>38</v>
      </c>
      <c r="E39">
        <v>80.653000000000006</v>
      </c>
      <c r="F39">
        <v>95.063000000000002</v>
      </c>
      <c r="G39">
        <v>175.73400000000001</v>
      </c>
      <c r="H39">
        <v>1.9379999999999999</v>
      </c>
      <c r="I39">
        <v>1.835</v>
      </c>
    </row>
    <row r="40" spans="1:9" x14ac:dyDescent="0.2">
      <c r="A40">
        <v>1</v>
      </c>
      <c r="B40">
        <v>1</v>
      </c>
      <c r="C40">
        <v>39</v>
      </c>
      <c r="E40">
        <v>81.117000000000004</v>
      </c>
      <c r="F40">
        <v>94.899000000000001</v>
      </c>
      <c r="G40">
        <v>176.04900000000001</v>
      </c>
      <c r="H40">
        <v>2.0750000000000002</v>
      </c>
      <c r="I40">
        <v>1.587</v>
      </c>
    </row>
    <row r="41" spans="1:9" x14ac:dyDescent="0.2">
      <c r="A41">
        <v>1</v>
      </c>
      <c r="B41">
        <v>1</v>
      </c>
      <c r="C41">
        <v>40</v>
      </c>
      <c r="E41">
        <v>81.275999999999996</v>
      </c>
      <c r="F41">
        <v>95.156000000000006</v>
      </c>
      <c r="G41">
        <v>176.42</v>
      </c>
      <c r="H41">
        <v>2.0550000000000002</v>
      </c>
      <c r="I41">
        <v>1.516</v>
      </c>
    </row>
    <row r="42" spans="1:9" x14ac:dyDescent="0.2">
      <c r="A42">
        <v>1</v>
      </c>
      <c r="B42">
        <v>1</v>
      </c>
      <c r="C42">
        <v>41</v>
      </c>
      <c r="E42">
        <v>80.87</v>
      </c>
      <c r="F42">
        <v>94.878</v>
      </c>
      <c r="G42">
        <v>175.846</v>
      </c>
      <c r="H42">
        <v>2.048</v>
      </c>
      <c r="I42">
        <v>2.4740000000000002</v>
      </c>
    </row>
    <row r="43" spans="1:9" x14ac:dyDescent="0.2">
      <c r="A43">
        <v>1</v>
      </c>
      <c r="B43">
        <v>1</v>
      </c>
      <c r="C43">
        <v>42</v>
      </c>
      <c r="E43">
        <v>81.221000000000004</v>
      </c>
      <c r="F43">
        <v>95.018000000000001</v>
      </c>
      <c r="G43">
        <v>176.24199999999999</v>
      </c>
      <c r="H43">
        <v>2.1629999999999998</v>
      </c>
      <c r="I43">
        <v>1.91</v>
      </c>
    </row>
    <row r="44" spans="1:9" x14ac:dyDescent="0.2">
      <c r="A44">
        <v>1</v>
      </c>
      <c r="B44">
        <v>1</v>
      </c>
      <c r="C44">
        <v>43</v>
      </c>
      <c r="E44">
        <v>81.206999999999994</v>
      </c>
      <c r="F44">
        <v>94.775000000000006</v>
      </c>
      <c r="G44">
        <v>176.01900000000001</v>
      </c>
      <c r="H44">
        <v>2.1850000000000001</v>
      </c>
      <c r="I44">
        <v>2.1070000000000002</v>
      </c>
    </row>
    <row r="45" spans="1:9" x14ac:dyDescent="0.2">
      <c r="A45">
        <v>1</v>
      </c>
      <c r="B45">
        <v>1</v>
      </c>
      <c r="C45">
        <v>44</v>
      </c>
      <c r="E45">
        <v>81.131</v>
      </c>
      <c r="F45">
        <v>94.899000000000001</v>
      </c>
      <c r="G45">
        <v>176.04400000000001</v>
      </c>
      <c r="H45">
        <v>1.9570000000000001</v>
      </c>
      <c r="I45">
        <v>2.0139999999999998</v>
      </c>
    </row>
    <row r="46" spans="1:9" x14ac:dyDescent="0.2">
      <c r="A46">
        <v>1</v>
      </c>
      <c r="B46">
        <v>1</v>
      </c>
      <c r="C46">
        <v>45</v>
      </c>
      <c r="E46">
        <v>81.144999999999996</v>
      </c>
      <c r="F46">
        <v>94.656000000000006</v>
      </c>
      <c r="G46">
        <v>175.72</v>
      </c>
      <c r="H46">
        <v>1.677</v>
      </c>
      <c r="I46">
        <v>1.627</v>
      </c>
    </row>
    <row r="47" spans="1:9" x14ac:dyDescent="0.2">
      <c r="A47">
        <v>1</v>
      </c>
      <c r="B47">
        <v>1</v>
      </c>
      <c r="C47">
        <v>46</v>
      </c>
      <c r="E47">
        <v>81.396000000000001</v>
      </c>
      <c r="F47">
        <v>94.754999999999995</v>
      </c>
      <c r="G47">
        <v>176.065</v>
      </c>
      <c r="H47">
        <v>1.62</v>
      </c>
      <c r="I47">
        <v>2.0409999999999999</v>
      </c>
    </row>
    <row r="48" spans="1:9" x14ac:dyDescent="0.2">
      <c r="A48">
        <v>1</v>
      </c>
      <c r="B48">
        <v>1</v>
      </c>
      <c r="C48">
        <v>47</v>
      </c>
      <c r="E48">
        <v>81.442999999999998</v>
      </c>
      <c r="F48">
        <v>95.034999999999997</v>
      </c>
      <c r="G48">
        <v>176.42</v>
      </c>
      <c r="H48">
        <v>1.974</v>
      </c>
      <c r="I48">
        <v>1.923</v>
      </c>
    </row>
    <row r="49" spans="1:9" x14ac:dyDescent="0.2">
      <c r="A49">
        <v>1</v>
      </c>
      <c r="B49">
        <v>1</v>
      </c>
      <c r="C49">
        <v>48</v>
      </c>
      <c r="E49">
        <v>81.087000000000003</v>
      </c>
      <c r="F49">
        <v>94.649000000000001</v>
      </c>
      <c r="G49">
        <v>175.77099999999999</v>
      </c>
      <c r="H49">
        <v>2.149</v>
      </c>
      <c r="I49">
        <v>1.879</v>
      </c>
    </row>
    <row r="50" spans="1:9" x14ac:dyDescent="0.2">
      <c r="A50">
        <v>1</v>
      </c>
      <c r="B50">
        <v>1</v>
      </c>
      <c r="C50">
        <v>49</v>
      </c>
      <c r="E50">
        <v>80.905000000000001</v>
      </c>
      <c r="F50">
        <v>94.924000000000007</v>
      </c>
      <c r="G50">
        <v>175.90700000000001</v>
      </c>
      <c r="H50">
        <v>2.222</v>
      </c>
      <c r="I50">
        <v>1.9990000000000001</v>
      </c>
    </row>
    <row r="51" spans="1:9" x14ac:dyDescent="0.2">
      <c r="A51">
        <v>1</v>
      </c>
      <c r="B51">
        <v>1</v>
      </c>
      <c r="C51">
        <v>50</v>
      </c>
      <c r="E51">
        <v>81.204999999999998</v>
      </c>
      <c r="F51">
        <v>94.685000000000002</v>
      </c>
      <c r="G51">
        <v>175.89400000000001</v>
      </c>
      <c r="H51">
        <v>1.9390000000000001</v>
      </c>
      <c r="I51">
        <v>2.052</v>
      </c>
    </row>
    <row r="52" spans="1:9" x14ac:dyDescent="0.2">
      <c r="A52">
        <v>1</v>
      </c>
      <c r="B52">
        <v>1</v>
      </c>
      <c r="C52">
        <v>51</v>
      </c>
      <c r="E52">
        <v>81.296999999999997</v>
      </c>
      <c r="F52">
        <v>95.034999999999997</v>
      </c>
      <c r="G52">
        <v>176.31</v>
      </c>
      <c r="H52">
        <v>2.089</v>
      </c>
      <c r="I52">
        <v>2.0169999999999999</v>
      </c>
    </row>
    <row r="53" spans="1:9" x14ac:dyDescent="0.2">
      <c r="A53">
        <v>1</v>
      </c>
      <c r="B53">
        <v>1</v>
      </c>
      <c r="C53">
        <v>52</v>
      </c>
      <c r="E53">
        <v>81.409000000000006</v>
      </c>
      <c r="F53">
        <v>94.683000000000007</v>
      </c>
      <c r="G53">
        <v>176.06</v>
      </c>
      <c r="H53">
        <v>2.2789999999999999</v>
      </c>
      <c r="I53">
        <v>2.097</v>
      </c>
    </row>
    <row r="54" spans="1:9" x14ac:dyDescent="0.2">
      <c r="A54">
        <v>1</v>
      </c>
      <c r="B54">
        <v>1</v>
      </c>
      <c r="C54">
        <v>53</v>
      </c>
      <c r="E54">
        <v>81.328000000000003</v>
      </c>
      <c r="F54">
        <v>94.447000000000003</v>
      </c>
      <c r="G54">
        <v>175.79400000000001</v>
      </c>
      <c r="H54">
        <v>2.0920000000000001</v>
      </c>
      <c r="I54">
        <v>1.869</v>
      </c>
    </row>
    <row r="55" spans="1:9" x14ac:dyDescent="0.2">
      <c r="A55">
        <v>1</v>
      </c>
      <c r="B55">
        <v>1</v>
      </c>
      <c r="C55">
        <v>54</v>
      </c>
      <c r="E55">
        <v>81.227999999999994</v>
      </c>
      <c r="F55">
        <v>94.894999999999996</v>
      </c>
      <c r="G55">
        <v>176.149</v>
      </c>
      <c r="H55">
        <v>1.958</v>
      </c>
      <c r="I55">
        <v>1.956</v>
      </c>
    </row>
    <row r="56" spans="1:9" x14ac:dyDescent="0.2">
      <c r="A56">
        <v>1</v>
      </c>
      <c r="B56">
        <v>1</v>
      </c>
      <c r="C56">
        <v>55</v>
      </c>
      <c r="E56">
        <v>81.335999999999999</v>
      </c>
      <c r="F56">
        <v>94.867000000000004</v>
      </c>
      <c r="G56">
        <v>176.185</v>
      </c>
      <c r="H56">
        <v>2.153</v>
      </c>
      <c r="I56">
        <v>2.0150000000000001</v>
      </c>
    </row>
    <row r="57" spans="1:9" x14ac:dyDescent="0.2">
      <c r="A57">
        <v>1</v>
      </c>
      <c r="B57">
        <v>1</v>
      </c>
      <c r="C57">
        <v>56</v>
      </c>
      <c r="E57">
        <v>81.031000000000006</v>
      </c>
      <c r="F57">
        <v>94.817999999999998</v>
      </c>
      <c r="G57">
        <v>175.87700000000001</v>
      </c>
      <c r="H57">
        <v>1.718</v>
      </c>
      <c r="I57">
        <v>1.877</v>
      </c>
    </row>
    <row r="58" spans="1:9" x14ac:dyDescent="0.2">
      <c r="A58">
        <v>1</v>
      </c>
      <c r="B58">
        <v>1</v>
      </c>
      <c r="C58">
        <v>57</v>
      </c>
      <c r="E58">
        <v>81.411000000000001</v>
      </c>
      <c r="F58">
        <v>94.566000000000003</v>
      </c>
      <c r="G58">
        <v>175.952</v>
      </c>
      <c r="H58">
        <v>1.901</v>
      </c>
      <c r="I58">
        <v>2.0830000000000002</v>
      </c>
    </row>
    <row r="59" spans="1:9" x14ac:dyDescent="0.2">
      <c r="A59">
        <v>1</v>
      </c>
      <c r="B59">
        <v>1</v>
      </c>
      <c r="C59">
        <v>58</v>
      </c>
      <c r="E59">
        <v>81.238</v>
      </c>
      <c r="F59">
        <v>94.644999999999996</v>
      </c>
      <c r="G59">
        <v>175.94499999999999</v>
      </c>
      <c r="H59">
        <v>2.67</v>
      </c>
      <c r="I59">
        <v>2.1819999999999999</v>
      </c>
    </row>
    <row r="60" spans="1:9" x14ac:dyDescent="0.2">
      <c r="A60">
        <v>1</v>
      </c>
      <c r="B60">
        <v>1</v>
      </c>
      <c r="C60">
        <v>59</v>
      </c>
      <c r="E60">
        <v>81.16</v>
      </c>
      <c r="F60">
        <v>94.671999999999997</v>
      </c>
      <c r="G60">
        <v>175.827</v>
      </c>
      <c r="H60">
        <v>2.3690000000000002</v>
      </c>
      <c r="I60">
        <v>1.9710000000000001</v>
      </c>
    </row>
    <row r="61" spans="1:9" x14ac:dyDescent="0.2">
      <c r="A61">
        <v>1</v>
      </c>
      <c r="B61">
        <v>1</v>
      </c>
      <c r="C61">
        <v>60</v>
      </c>
      <c r="E61">
        <v>81.263000000000005</v>
      </c>
      <c r="F61">
        <v>94.650999999999996</v>
      </c>
      <c r="G61">
        <v>175.84100000000001</v>
      </c>
      <c r="H61">
        <v>1.788</v>
      </c>
      <c r="I61">
        <v>2.14</v>
      </c>
    </row>
    <row r="62" spans="1:9" x14ac:dyDescent="0.2">
      <c r="A62">
        <v>1</v>
      </c>
      <c r="B62">
        <v>1</v>
      </c>
      <c r="C62">
        <v>61</v>
      </c>
      <c r="E62">
        <v>81.28</v>
      </c>
      <c r="F62">
        <v>95.111999999999995</v>
      </c>
      <c r="G62">
        <v>176.32499999999999</v>
      </c>
      <c r="H62">
        <v>1.88</v>
      </c>
      <c r="I62">
        <v>2.0859999999999999</v>
      </c>
    </row>
    <row r="63" spans="1:9" x14ac:dyDescent="0.2">
      <c r="A63">
        <v>1</v>
      </c>
      <c r="B63">
        <v>1</v>
      </c>
      <c r="C63">
        <v>62</v>
      </c>
      <c r="E63">
        <v>81.073999999999998</v>
      </c>
      <c r="F63">
        <v>95.058000000000007</v>
      </c>
      <c r="G63">
        <v>176.191</v>
      </c>
      <c r="H63">
        <v>2.214</v>
      </c>
      <c r="I63">
        <v>1.883</v>
      </c>
    </row>
    <row r="64" spans="1:9" x14ac:dyDescent="0.2">
      <c r="A64">
        <v>1</v>
      </c>
      <c r="B64">
        <v>1</v>
      </c>
      <c r="C64">
        <v>63</v>
      </c>
      <c r="E64">
        <v>81.441000000000003</v>
      </c>
      <c r="F64">
        <v>94.677000000000007</v>
      </c>
      <c r="G64">
        <v>176.024</v>
      </c>
      <c r="H64">
        <v>1.8680000000000001</v>
      </c>
      <c r="I64">
        <v>2.1139999999999999</v>
      </c>
    </row>
    <row r="65" spans="1:9" x14ac:dyDescent="0.2">
      <c r="A65">
        <v>1</v>
      </c>
      <c r="B65">
        <v>1</v>
      </c>
      <c r="C65">
        <v>64</v>
      </c>
      <c r="E65">
        <v>81.021000000000001</v>
      </c>
      <c r="F65">
        <v>94.885999999999996</v>
      </c>
      <c r="G65">
        <v>176.04599999999999</v>
      </c>
      <c r="H65">
        <v>2.0499999999999998</v>
      </c>
      <c r="I65">
        <v>2.093</v>
      </c>
    </row>
    <row r="66" spans="1:9" x14ac:dyDescent="0.2">
      <c r="A66">
        <v>1</v>
      </c>
      <c r="B66">
        <v>1</v>
      </c>
      <c r="C66">
        <v>65</v>
      </c>
      <c r="E66">
        <v>81.072000000000003</v>
      </c>
      <c r="F66">
        <v>95.013999999999996</v>
      </c>
      <c r="G66">
        <v>176.10900000000001</v>
      </c>
      <c r="H66">
        <v>1.94</v>
      </c>
      <c r="I66">
        <v>2.2290000000000001</v>
      </c>
    </row>
    <row r="67" spans="1:9" x14ac:dyDescent="0.2">
      <c r="A67">
        <v>1</v>
      </c>
      <c r="B67">
        <v>1</v>
      </c>
      <c r="C67">
        <v>66</v>
      </c>
      <c r="E67">
        <v>80.932000000000002</v>
      </c>
      <c r="F67">
        <v>95.05</v>
      </c>
      <c r="G67">
        <v>176.04900000000001</v>
      </c>
      <c r="H67">
        <v>1.8919999999999999</v>
      </c>
      <c r="I67">
        <v>2.4529999999999998</v>
      </c>
    </row>
    <row r="68" spans="1:9" x14ac:dyDescent="0.2">
      <c r="A68">
        <v>1</v>
      </c>
      <c r="B68">
        <v>1</v>
      </c>
      <c r="C68">
        <v>67</v>
      </c>
      <c r="E68">
        <v>81.221999999999994</v>
      </c>
      <c r="F68">
        <v>94.760999999999996</v>
      </c>
      <c r="G68">
        <v>175.98400000000001</v>
      </c>
      <c r="H68">
        <v>2.08</v>
      </c>
      <c r="I68">
        <v>2.2400000000000002</v>
      </c>
    </row>
    <row r="69" spans="1:9" x14ac:dyDescent="0.2">
      <c r="A69">
        <v>1</v>
      </c>
      <c r="B69">
        <v>1</v>
      </c>
      <c r="C69">
        <v>68</v>
      </c>
      <c r="E69">
        <v>81.194000000000003</v>
      </c>
      <c r="F69">
        <v>94.676000000000002</v>
      </c>
      <c r="G69">
        <v>175.952</v>
      </c>
      <c r="H69">
        <v>2.65</v>
      </c>
      <c r="I69">
        <v>2.72</v>
      </c>
    </row>
    <row r="70" spans="1:9" x14ac:dyDescent="0.2">
      <c r="A70">
        <v>1</v>
      </c>
      <c r="B70">
        <v>1</v>
      </c>
      <c r="C70">
        <v>69</v>
      </c>
      <c r="E70">
        <v>81.335999999999999</v>
      </c>
      <c r="F70">
        <v>94.385000000000005</v>
      </c>
      <c r="G70">
        <v>175.798</v>
      </c>
      <c r="H70">
        <v>2.706</v>
      </c>
      <c r="I70">
        <v>2.2000000000000002</v>
      </c>
    </row>
    <row r="71" spans="1:9" x14ac:dyDescent="0.2">
      <c r="A71">
        <v>1</v>
      </c>
      <c r="B71">
        <v>1</v>
      </c>
      <c r="C71">
        <v>70</v>
      </c>
      <c r="E71">
        <v>80.921000000000006</v>
      </c>
      <c r="F71">
        <v>94.873000000000005</v>
      </c>
      <c r="G71">
        <v>175.77699999999999</v>
      </c>
      <c r="H71">
        <v>1.948</v>
      </c>
      <c r="I71">
        <v>2.9820000000000002</v>
      </c>
    </row>
    <row r="72" spans="1:9" x14ac:dyDescent="0.2">
      <c r="A72">
        <v>1</v>
      </c>
      <c r="B72">
        <v>1</v>
      </c>
      <c r="C72">
        <v>71</v>
      </c>
      <c r="E72">
        <v>81.5</v>
      </c>
      <c r="F72">
        <v>94.781000000000006</v>
      </c>
      <c r="G72">
        <v>176.185</v>
      </c>
      <c r="H72">
        <v>2.0379999999999998</v>
      </c>
      <c r="I72">
        <v>2.1309999999999998</v>
      </c>
    </row>
    <row r="73" spans="1:9" x14ac:dyDescent="0.2">
      <c r="A73">
        <v>1</v>
      </c>
      <c r="B73">
        <v>1</v>
      </c>
      <c r="C73">
        <v>72</v>
      </c>
      <c r="E73">
        <v>81.286000000000001</v>
      </c>
      <c r="F73">
        <v>94.82</v>
      </c>
      <c r="G73">
        <v>176.11799999999999</v>
      </c>
      <c r="H73">
        <v>2.4670000000000001</v>
      </c>
      <c r="I73">
        <v>1.9650000000000001</v>
      </c>
    </row>
    <row r="74" spans="1:9" x14ac:dyDescent="0.2">
      <c r="A74">
        <v>1</v>
      </c>
      <c r="B74">
        <v>1</v>
      </c>
      <c r="C74">
        <v>73</v>
      </c>
      <c r="E74">
        <v>81.328000000000003</v>
      </c>
      <c r="F74">
        <v>94.774000000000001</v>
      </c>
      <c r="G74">
        <v>176.04499999999999</v>
      </c>
      <c r="H74">
        <v>1.93</v>
      </c>
      <c r="I74">
        <v>2.0920000000000001</v>
      </c>
    </row>
    <row r="75" spans="1:9" x14ac:dyDescent="0.2">
      <c r="A75">
        <v>1</v>
      </c>
      <c r="B75">
        <v>1</v>
      </c>
      <c r="C75">
        <v>74</v>
      </c>
      <c r="E75">
        <v>81.314999999999998</v>
      </c>
      <c r="F75">
        <v>94.918000000000006</v>
      </c>
      <c r="G75">
        <v>176.23599999999999</v>
      </c>
      <c r="H75">
        <v>2.528</v>
      </c>
      <c r="I75">
        <v>2.0819999999999999</v>
      </c>
    </row>
    <row r="76" spans="1:9" x14ac:dyDescent="0.2">
      <c r="A76">
        <v>1</v>
      </c>
      <c r="B76">
        <v>1</v>
      </c>
      <c r="C76">
        <v>75</v>
      </c>
      <c r="E76">
        <v>81.418000000000006</v>
      </c>
      <c r="F76">
        <v>94.784999999999997</v>
      </c>
      <c r="G76">
        <v>176.15199999999999</v>
      </c>
      <c r="H76">
        <v>2.3130000000000002</v>
      </c>
      <c r="I76">
        <v>2.351</v>
      </c>
    </row>
    <row r="77" spans="1:9" x14ac:dyDescent="0.2">
      <c r="A77">
        <v>1</v>
      </c>
      <c r="B77">
        <v>1</v>
      </c>
      <c r="C77">
        <v>76</v>
      </c>
      <c r="E77">
        <v>81.126999999999995</v>
      </c>
      <c r="F77">
        <v>94.828000000000003</v>
      </c>
      <c r="G77">
        <v>175.93199999999999</v>
      </c>
      <c r="H77">
        <v>2.081</v>
      </c>
      <c r="I77">
        <v>1.982</v>
      </c>
    </row>
    <row r="78" spans="1:9" x14ac:dyDescent="0.2">
      <c r="A78">
        <v>1</v>
      </c>
      <c r="B78">
        <v>1</v>
      </c>
      <c r="C78">
        <v>77</v>
      </c>
      <c r="E78">
        <v>81.789000000000001</v>
      </c>
      <c r="F78">
        <v>94.004999999999995</v>
      </c>
      <c r="G78">
        <v>175.81200000000001</v>
      </c>
      <c r="H78">
        <v>2.1930000000000001</v>
      </c>
      <c r="I78">
        <v>2.0720000000000001</v>
      </c>
    </row>
    <row r="79" spans="1:9" x14ac:dyDescent="0.2">
      <c r="A79">
        <v>1</v>
      </c>
      <c r="B79">
        <v>1</v>
      </c>
      <c r="C79">
        <v>78</v>
      </c>
      <c r="E79">
        <v>81.149000000000001</v>
      </c>
      <c r="F79">
        <v>94.763999999999996</v>
      </c>
      <c r="G79">
        <v>175.84899999999999</v>
      </c>
      <c r="H79">
        <v>2.0230000000000001</v>
      </c>
      <c r="I79">
        <v>2.3639999999999999</v>
      </c>
    </row>
    <row r="80" spans="1:9" x14ac:dyDescent="0.2">
      <c r="A80">
        <v>1</v>
      </c>
      <c r="B80">
        <v>1</v>
      </c>
      <c r="C80">
        <v>79</v>
      </c>
      <c r="E80">
        <v>81.168000000000006</v>
      </c>
      <c r="F80">
        <v>94.593000000000004</v>
      </c>
      <c r="G80">
        <v>175.762</v>
      </c>
      <c r="H80">
        <v>1.9590000000000001</v>
      </c>
      <c r="I80">
        <v>1.986</v>
      </c>
    </row>
    <row r="81" spans="1:9" x14ac:dyDescent="0.2">
      <c r="A81">
        <v>1</v>
      </c>
      <c r="B81">
        <v>1</v>
      </c>
      <c r="C81">
        <v>80</v>
      </c>
      <c r="E81">
        <v>81.391000000000005</v>
      </c>
      <c r="F81">
        <v>94.801000000000002</v>
      </c>
      <c r="G81">
        <v>176.23099999999999</v>
      </c>
      <c r="H81">
        <v>1.8759999999999999</v>
      </c>
      <c r="I81">
        <v>1.98</v>
      </c>
    </row>
    <row r="82" spans="1:9" x14ac:dyDescent="0.2">
      <c r="A82">
        <v>1</v>
      </c>
      <c r="B82">
        <v>1</v>
      </c>
      <c r="C82">
        <v>81</v>
      </c>
      <c r="E82">
        <v>81.278000000000006</v>
      </c>
      <c r="F82">
        <v>94.528999999999996</v>
      </c>
      <c r="G82">
        <v>175.77199999999999</v>
      </c>
      <c r="H82">
        <v>2.1800000000000002</v>
      </c>
      <c r="I82">
        <v>2.1739999999999999</v>
      </c>
    </row>
    <row r="83" spans="1:9" x14ac:dyDescent="0.2">
      <c r="A83">
        <v>1</v>
      </c>
      <c r="B83">
        <v>1</v>
      </c>
      <c r="C83">
        <v>82</v>
      </c>
      <c r="E83">
        <v>81.915999999999997</v>
      </c>
      <c r="F83">
        <v>94.161000000000001</v>
      </c>
      <c r="G83">
        <v>176.02</v>
      </c>
      <c r="H83">
        <v>1.97</v>
      </c>
      <c r="I83">
        <v>1.91</v>
      </c>
    </row>
    <row r="84" spans="1:9" x14ac:dyDescent="0.2">
      <c r="A84">
        <v>1</v>
      </c>
      <c r="B84">
        <v>1</v>
      </c>
      <c r="C84">
        <v>83</v>
      </c>
      <c r="E84">
        <v>80.924000000000007</v>
      </c>
      <c r="F84">
        <v>95.055999999999997</v>
      </c>
      <c r="G84">
        <v>176.05099999999999</v>
      </c>
      <c r="H84">
        <v>2.0459999999999998</v>
      </c>
      <c r="I84">
        <v>2.1269999999999998</v>
      </c>
    </row>
    <row r="85" spans="1:9" x14ac:dyDescent="0.2">
      <c r="A85">
        <v>1</v>
      </c>
      <c r="B85">
        <v>1</v>
      </c>
      <c r="C85">
        <v>84</v>
      </c>
      <c r="E85">
        <v>81.33</v>
      </c>
      <c r="F85">
        <v>94.801000000000002</v>
      </c>
      <c r="G85">
        <v>176.21700000000001</v>
      </c>
      <c r="H85">
        <v>2.0539999999999998</v>
      </c>
      <c r="I85">
        <v>2.548</v>
      </c>
    </row>
    <row r="86" spans="1:9" x14ac:dyDescent="0.2">
      <c r="A86">
        <v>1</v>
      </c>
      <c r="B86">
        <v>1</v>
      </c>
      <c r="C86">
        <v>85</v>
      </c>
      <c r="E86">
        <v>81.244</v>
      </c>
      <c r="F86">
        <v>94.831999999999994</v>
      </c>
      <c r="G86">
        <v>176.14500000000001</v>
      </c>
      <c r="H86">
        <v>2.036</v>
      </c>
      <c r="I86">
        <v>1.986</v>
      </c>
    </row>
    <row r="87" spans="1:9" x14ac:dyDescent="0.2">
      <c r="A87">
        <v>1</v>
      </c>
      <c r="B87">
        <v>1</v>
      </c>
      <c r="C87">
        <v>86</v>
      </c>
      <c r="E87">
        <v>80.989999999999995</v>
      </c>
      <c r="F87">
        <v>95.156999999999996</v>
      </c>
      <c r="G87">
        <v>176.10599999999999</v>
      </c>
      <c r="H87">
        <v>1.883</v>
      </c>
      <c r="I87">
        <v>2.1840000000000002</v>
      </c>
    </row>
    <row r="88" spans="1:9" x14ac:dyDescent="0.2">
      <c r="A88">
        <v>1</v>
      </c>
      <c r="B88">
        <v>1</v>
      </c>
      <c r="C88">
        <v>87</v>
      </c>
      <c r="E88">
        <v>81.272999999999996</v>
      </c>
      <c r="F88">
        <v>94.753</v>
      </c>
      <c r="G88">
        <v>176.00399999999999</v>
      </c>
      <c r="H88">
        <v>2.2719999999999998</v>
      </c>
      <c r="I88">
        <v>1.978</v>
      </c>
    </row>
    <row r="89" spans="1:9" x14ac:dyDescent="0.2">
      <c r="A89">
        <v>1</v>
      </c>
      <c r="B89">
        <v>1</v>
      </c>
      <c r="C89">
        <v>88</v>
      </c>
      <c r="E89">
        <v>80.936999999999998</v>
      </c>
      <c r="F89">
        <v>94.927999999999997</v>
      </c>
      <c r="G89">
        <v>175.917</v>
      </c>
      <c r="H89">
        <v>1.6559999999999999</v>
      </c>
      <c r="I89">
        <v>2.2629999999999999</v>
      </c>
    </row>
    <row r="90" spans="1:9" x14ac:dyDescent="0.2">
      <c r="A90">
        <v>1</v>
      </c>
      <c r="B90">
        <v>1</v>
      </c>
      <c r="C90">
        <v>89</v>
      </c>
      <c r="E90">
        <v>80.730999999999995</v>
      </c>
      <c r="F90">
        <v>95.156000000000006</v>
      </c>
      <c r="G90">
        <v>175.90100000000001</v>
      </c>
      <c r="H90">
        <v>2.1560000000000001</v>
      </c>
      <c r="I90">
        <v>1.75</v>
      </c>
    </row>
    <row r="91" spans="1:9" x14ac:dyDescent="0.2">
      <c r="A91">
        <v>1</v>
      </c>
      <c r="B91">
        <v>1</v>
      </c>
      <c r="C91">
        <v>90</v>
      </c>
      <c r="E91">
        <v>80.866</v>
      </c>
      <c r="F91">
        <v>95.097999999999999</v>
      </c>
      <c r="G91">
        <v>175.93799999999999</v>
      </c>
      <c r="H91">
        <v>1.992</v>
      </c>
      <c r="I91">
        <v>1.929</v>
      </c>
    </row>
    <row r="92" spans="1:9" x14ac:dyDescent="0.2">
      <c r="A92">
        <v>1</v>
      </c>
      <c r="B92">
        <v>1</v>
      </c>
      <c r="C92">
        <v>91</v>
      </c>
      <c r="E92">
        <v>81.108000000000004</v>
      </c>
      <c r="F92">
        <v>94.730999999999995</v>
      </c>
      <c r="G92">
        <v>175.86</v>
      </c>
      <c r="H92">
        <v>2.4049999999999998</v>
      </c>
      <c r="I92">
        <v>2.944</v>
      </c>
    </row>
    <row r="93" spans="1:9" x14ac:dyDescent="0.2">
      <c r="A93">
        <v>1</v>
      </c>
      <c r="B93">
        <v>1</v>
      </c>
      <c r="C93">
        <v>92</v>
      </c>
      <c r="E93">
        <v>80.844999999999999</v>
      </c>
      <c r="F93">
        <v>95.158000000000001</v>
      </c>
      <c r="G93">
        <v>175.935</v>
      </c>
      <c r="H93">
        <v>2.1419999999999999</v>
      </c>
      <c r="I93">
        <v>2.78</v>
      </c>
    </row>
    <row r="94" spans="1:9" x14ac:dyDescent="0.2">
      <c r="A94">
        <v>1</v>
      </c>
      <c r="B94">
        <v>1</v>
      </c>
      <c r="C94">
        <v>93</v>
      </c>
      <c r="E94">
        <v>80.507000000000005</v>
      </c>
      <c r="F94">
        <v>95.326999999999998</v>
      </c>
      <c r="G94">
        <v>175.89</v>
      </c>
      <c r="H94">
        <v>2.867</v>
      </c>
      <c r="I94">
        <v>2.3439999999999999</v>
      </c>
    </row>
    <row r="95" spans="1:9" x14ac:dyDescent="0.2">
      <c r="A95">
        <v>1</v>
      </c>
      <c r="B95">
        <v>1</v>
      </c>
      <c r="C95">
        <v>94</v>
      </c>
      <c r="E95">
        <v>81.302000000000007</v>
      </c>
      <c r="F95">
        <v>94.668999999999997</v>
      </c>
      <c r="G95">
        <v>175.983</v>
      </c>
      <c r="H95">
        <v>2.3149999999999999</v>
      </c>
      <c r="I95">
        <v>1.903</v>
      </c>
    </row>
    <row r="96" spans="1:9" x14ac:dyDescent="0.2">
      <c r="A96">
        <v>1</v>
      </c>
      <c r="B96">
        <v>1</v>
      </c>
      <c r="C96">
        <v>95</v>
      </c>
      <c r="E96">
        <v>81.319000000000003</v>
      </c>
      <c r="F96">
        <v>94.305999999999997</v>
      </c>
      <c r="G96">
        <v>175.67500000000001</v>
      </c>
      <c r="H96">
        <v>2.2400000000000002</v>
      </c>
      <c r="I96">
        <v>2.222</v>
      </c>
    </row>
    <row r="97" spans="1:9" x14ac:dyDescent="0.2">
      <c r="A97">
        <v>1</v>
      </c>
      <c r="B97">
        <v>1</v>
      </c>
      <c r="C97">
        <v>96</v>
      </c>
      <c r="E97">
        <v>81.358000000000004</v>
      </c>
      <c r="F97">
        <v>95.072000000000003</v>
      </c>
      <c r="G97">
        <v>176.482</v>
      </c>
      <c r="H97">
        <v>2.5129999999999999</v>
      </c>
      <c r="I97">
        <v>2.4489999999999998</v>
      </c>
    </row>
    <row r="98" spans="1:9" x14ac:dyDescent="0.2">
      <c r="A98">
        <v>1</v>
      </c>
      <c r="B98">
        <v>1</v>
      </c>
      <c r="C98">
        <v>97</v>
      </c>
      <c r="E98">
        <v>80.936000000000007</v>
      </c>
      <c r="F98">
        <v>95.575000000000003</v>
      </c>
      <c r="G98">
        <v>176.45099999999999</v>
      </c>
      <c r="H98">
        <v>2.052</v>
      </c>
      <c r="I98">
        <v>1.98</v>
      </c>
    </row>
    <row r="99" spans="1:9" x14ac:dyDescent="0.2">
      <c r="A99">
        <v>1</v>
      </c>
      <c r="B99">
        <v>1</v>
      </c>
      <c r="C99">
        <v>98</v>
      </c>
      <c r="E99">
        <v>80.897000000000006</v>
      </c>
      <c r="F99">
        <v>95.34</v>
      </c>
      <c r="G99">
        <v>176.27699999999999</v>
      </c>
      <c r="H99">
        <v>2.33</v>
      </c>
      <c r="I99">
        <v>2.0950000000000002</v>
      </c>
    </row>
    <row r="100" spans="1:9" x14ac:dyDescent="0.2">
      <c r="A100">
        <v>1</v>
      </c>
      <c r="B100">
        <v>1</v>
      </c>
      <c r="C100">
        <v>99</v>
      </c>
      <c r="E100">
        <v>81.174999999999997</v>
      </c>
      <c r="F100">
        <v>94.501000000000005</v>
      </c>
      <c r="G100">
        <v>175.76300000000001</v>
      </c>
      <c r="H100">
        <v>1.79</v>
      </c>
      <c r="I100">
        <v>1.899</v>
      </c>
    </row>
    <row r="101" spans="1:9" x14ac:dyDescent="0.2">
      <c r="A101">
        <v>1</v>
      </c>
      <c r="B101">
        <v>1</v>
      </c>
      <c r="C101">
        <v>100</v>
      </c>
      <c r="E101">
        <v>81.924000000000007</v>
      </c>
      <c r="F101">
        <v>94.046000000000006</v>
      </c>
      <c r="G101">
        <v>175.98599999999999</v>
      </c>
      <c r="H101">
        <v>2.04</v>
      </c>
      <c r="I101">
        <v>1.7450000000000001</v>
      </c>
    </row>
    <row r="102" spans="1:9" x14ac:dyDescent="0.2">
      <c r="A102">
        <v>1</v>
      </c>
      <c r="B102">
        <v>1</v>
      </c>
      <c r="C102">
        <v>101</v>
      </c>
      <c r="E102">
        <v>81.281000000000006</v>
      </c>
      <c r="F102">
        <v>94.721000000000004</v>
      </c>
      <c r="G102">
        <v>175.90600000000001</v>
      </c>
      <c r="H102">
        <v>2.448</v>
      </c>
      <c r="I102">
        <v>2.5459999999999998</v>
      </c>
    </row>
    <row r="103" spans="1:9" x14ac:dyDescent="0.2">
      <c r="A103">
        <v>1</v>
      </c>
      <c r="B103">
        <v>1</v>
      </c>
      <c r="C103">
        <v>102</v>
      </c>
      <c r="E103">
        <v>81.17</v>
      </c>
      <c r="F103">
        <v>94.744</v>
      </c>
      <c r="G103">
        <v>175.923</v>
      </c>
      <c r="H103">
        <v>2.9529999999999998</v>
      </c>
      <c r="I103">
        <v>2.2120000000000002</v>
      </c>
    </row>
    <row r="104" spans="1:9" x14ac:dyDescent="0.2">
      <c r="A104">
        <v>1</v>
      </c>
      <c r="B104">
        <v>1</v>
      </c>
      <c r="C104">
        <v>103</v>
      </c>
      <c r="E104">
        <v>81.334000000000003</v>
      </c>
      <c r="F104">
        <v>94.33</v>
      </c>
      <c r="G104">
        <v>175.66399999999999</v>
      </c>
      <c r="H104">
        <v>2.8540000000000001</v>
      </c>
      <c r="I104">
        <v>2.5009999999999999</v>
      </c>
    </row>
    <row r="105" spans="1:9" x14ac:dyDescent="0.2">
      <c r="A105">
        <v>1</v>
      </c>
      <c r="B105">
        <v>1</v>
      </c>
      <c r="C105">
        <v>104</v>
      </c>
      <c r="E105">
        <v>81.105999999999995</v>
      </c>
      <c r="F105">
        <v>95.006</v>
      </c>
      <c r="G105">
        <v>176.18799999999999</v>
      </c>
      <c r="H105">
        <v>2.206</v>
      </c>
      <c r="I105">
        <v>2.35</v>
      </c>
    </row>
    <row r="106" spans="1:9" x14ac:dyDescent="0.2">
      <c r="A106">
        <v>1</v>
      </c>
      <c r="B106">
        <v>1</v>
      </c>
      <c r="C106">
        <v>105</v>
      </c>
      <c r="E106">
        <v>80.947999999999993</v>
      </c>
      <c r="F106">
        <v>94.617999999999995</v>
      </c>
      <c r="G106">
        <v>175.62200000000001</v>
      </c>
      <c r="H106">
        <v>2.0329999999999999</v>
      </c>
      <c r="I106">
        <v>2.7629999999999999</v>
      </c>
    </row>
    <row r="107" spans="1:9" x14ac:dyDescent="0.2">
      <c r="A107">
        <v>1</v>
      </c>
      <c r="B107">
        <v>1</v>
      </c>
      <c r="C107">
        <v>106</v>
      </c>
      <c r="E107">
        <v>81.274000000000001</v>
      </c>
      <c r="F107">
        <v>94.849000000000004</v>
      </c>
      <c r="G107">
        <v>176.05699999999999</v>
      </c>
      <c r="H107">
        <v>2.3069999999999999</v>
      </c>
      <c r="I107">
        <v>1.7629999999999999</v>
      </c>
    </row>
    <row r="108" spans="1:9" x14ac:dyDescent="0.2">
      <c r="A108">
        <v>1</v>
      </c>
      <c r="B108">
        <v>1</v>
      </c>
      <c r="C108">
        <v>107</v>
      </c>
      <c r="E108">
        <v>81.355000000000004</v>
      </c>
      <c r="F108">
        <v>94.522999999999996</v>
      </c>
      <c r="G108">
        <v>175.851</v>
      </c>
      <c r="H108">
        <v>2.7629999999999999</v>
      </c>
      <c r="I108">
        <v>2.3119999999999998</v>
      </c>
    </row>
    <row r="109" spans="1:9" x14ac:dyDescent="0.2">
      <c r="A109">
        <v>1</v>
      </c>
      <c r="B109">
        <v>1</v>
      </c>
      <c r="C109">
        <v>108</v>
      </c>
      <c r="E109">
        <v>81.126000000000005</v>
      </c>
      <c r="F109">
        <v>94.680999999999997</v>
      </c>
      <c r="G109">
        <v>175.779</v>
      </c>
      <c r="H109">
        <v>1.9610000000000001</v>
      </c>
      <c r="I109">
        <v>2.2010000000000001</v>
      </c>
    </row>
    <row r="110" spans="1:9" x14ac:dyDescent="0.2">
      <c r="A110">
        <v>1</v>
      </c>
      <c r="B110">
        <v>1</v>
      </c>
      <c r="C110">
        <v>109</v>
      </c>
      <c r="E110">
        <v>81.594999999999999</v>
      </c>
      <c r="F110">
        <v>94.281999999999996</v>
      </c>
      <c r="G110">
        <v>175.9</v>
      </c>
      <c r="H110">
        <v>2.0499999999999998</v>
      </c>
      <c r="I110">
        <v>2.6579999999999999</v>
      </c>
    </row>
    <row r="111" spans="1:9" x14ac:dyDescent="0.2">
      <c r="A111">
        <v>1</v>
      </c>
      <c r="B111">
        <v>1</v>
      </c>
      <c r="C111">
        <v>110</v>
      </c>
      <c r="E111">
        <v>81.191999999999993</v>
      </c>
      <c r="F111">
        <v>94.805999999999997</v>
      </c>
      <c r="G111">
        <v>176.071</v>
      </c>
      <c r="H111">
        <v>2.2959999999999998</v>
      </c>
      <c r="I111">
        <v>2.1549999999999998</v>
      </c>
    </row>
    <row r="112" spans="1:9" x14ac:dyDescent="0.2">
      <c r="A112">
        <v>1</v>
      </c>
      <c r="B112">
        <v>1</v>
      </c>
      <c r="C112">
        <v>111</v>
      </c>
      <c r="E112">
        <v>81.346000000000004</v>
      </c>
      <c r="F112">
        <v>94.653000000000006</v>
      </c>
      <c r="G112">
        <v>176.05</v>
      </c>
      <c r="H112">
        <v>2.2480000000000002</v>
      </c>
      <c r="I112">
        <v>2.0699999999999998</v>
      </c>
    </row>
    <row r="113" spans="1:9" x14ac:dyDescent="0.2">
      <c r="A113">
        <v>1</v>
      </c>
      <c r="B113">
        <v>1</v>
      </c>
      <c r="C113">
        <v>112</v>
      </c>
      <c r="E113">
        <v>81.215999999999994</v>
      </c>
      <c r="F113">
        <v>94.88</v>
      </c>
      <c r="G113">
        <v>176.13300000000001</v>
      </c>
      <c r="H113">
        <v>2.2120000000000002</v>
      </c>
      <c r="I113">
        <v>1.7949999999999999</v>
      </c>
    </row>
    <row r="114" spans="1:9" x14ac:dyDescent="0.2">
      <c r="A114">
        <v>1</v>
      </c>
      <c r="B114">
        <v>1</v>
      </c>
      <c r="C114">
        <v>113</v>
      </c>
      <c r="E114">
        <v>81.441999999999993</v>
      </c>
      <c r="F114">
        <v>94.814999999999998</v>
      </c>
      <c r="G114">
        <v>176.2</v>
      </c>
      <c r="H114">
        <v>2.1059999999999999</v>
      </c>
      <c r="I114">
        <v>2.661</v>
      </c>
    </row>
    <row r="115" spans="1:9" x14ac:dyDescent="0.2">
      <c r="A115">
        <v>1</v>
      </c>
      <c r="B115">
        <v>1</v>
      </c>
      <c r="C115">
        <v>114</v>
      </c>
      <c r="E115">
        <v>80.92</v>
      </c>
      <c r="F115">
        <v>94.906999999999996</v>
      </c>
      <c r="G115">
        <v>175.82300000000001</v>
      </c>
      <c r="H115">
        <v>1.9470000000000001</v>
      </c>
      <c r="I115">
        <v>1.8919999999999999</v>
      </c>
    </row>
    <row r="116" spans="1:9" x14ac:dyDescent="0.2">
      <c r="A116">
        <v>1</v>
      </c>
      <c r="B116">
        <v>1</v>
      </c>
      <c r="C116">
        <v>115</v>
      </c>
      <c r="E116">
        <v>81.096000000000004</v>
      </c>
      <c r="F116">
        <v>94.5</v>
      </c>
      <c r="G116">
        <v>175.565</v>
      </c>
      <c r="H116">
        <v>1.9810000000000001</v>
      </c>
      <c r="I116">
        <v>2.198</v>
      </c>
    </row>
    <row r="117" spans="1:9" x14ac:dyDescent="0.2">
      <c r="A117">
        <v>1</v>
      </c>
      <c r="B117">
        <v>1</v>
      </c>
      <c r="C117">
        <v>116</v>
      </c>
      <c r="E117">
        <v>81.331999999999994</v>
      </c>
      <c r="F117">
        <v>94.510999999999996</v>
      </c>
      <c r="G117">
        <v>175.89400000000001</v>
      </c>
      <c r="H117">
        <v>2.169</v>
      </c>
      <c r="I117">
        <v>2.456</v>
      </c>
    </row>
    <row r="118" spans="1:9" x14ac:dyDescent="0.2">
      <c r="A118">
        <v>1</v>
      </c>
      <c r="B118">
        <v>1</v>
      </c>
      <c r="C118">
        <v>117</v>
      </c>
      <c r="E118">
        <v>81.058000000000007</v>
      </c>
      <c r="F118">
        <v>94.71</v>
      </c>
      <c r="G118">
        <v>175.75</v>
      </c>
      <c r="H118">
        <v>2.7109999999999999</v>
      </c>
      <c r="I118">
        <v>2.7519999999999998</v>
      </c>
    </row>
    <row r="119" spans="1:9" x14ac:dyDescent="0.2">
      <c r="A119">
        <v>1</v>
      </c>
      <c r="B119">
        <v>1</v>
      </c>
      <c r="C119">
        <v>118</v>
      </c>
      <c r="E119">
        <v>81.275000000000006</v>
      </c>
      <c r="F119">
        <v>94.405000000000001</v>
      </c>
      <c r="G119">
        <v>175.66300000000001</v>
      </c>
      <c r="H119">
        <v>2.0139999999999998</v>
      </c>
      <c r="I119">
        <v>2.5579999999999998</v>
      </c>
    </row>
    <row r="120" spans="1:9" x14ac:dyDescent="0.2">
      <c r="A120">
        <v>1</v>
      </c>
      <c r="B120">
        <v>1</v>
      </c>
      <c r="C120">
        <v>119</v>
      </c>
      <c r="E120">
        <v>81.293000000000006</v>
      </c>
      <c r="F120">
        <v>94.682000000000002</v>
      </c>
      <c r="G120">
        <v>175.97</v>
      </c>
      <c r="H120">
        <v>2.2749999999999999</v>
      </c>
      <c r="I120">
        <v>1.49</v>
      </c>
    </row>
    <row r="121" spans="1:9" x14ac:dyDescent="0.2">
      <c r="A121">
        <v>1</v>
      </c>
      <c r="B121">
        <v>1</v>
      </c>
      <c r="C121">
        <v>120</v>
      </c>
      <c r="E121">
        <v>81.326999999999998</v>
      </c>
      <c r="F121">
        <v>94.557000000000002</v>
      </c>
      <c r="G121">
        <v>175.934</v>
      </c>
      <c r="H121">
        <v>2.883</v>
      </c>
      <c r="I121">
        <v>2.6059999999999999</v>
      </c>
    </row>
    <row r="122" spans="1:9" x14ac:dyDescent="0.2">
      <c r="A122">
        <v>1</v>
      </c>
      <c r="B122">
        <v>1</v>
      </c>
      <c r="C122">
        <v>121</v>
      </c>
      <c r="E122">
        <v>81.248000000000005</v>
      </c>
      <c r="F122">
        <v>94.853999999999999</v>
      </c>
      <c r="G122">
        <v>176.148</v>
      </c>
      <c r="H122">
        <v>2.456</v>
      </c>
      <c r="I122">
        <v>2.0169999999999999</v>
      </c>
    </row>
    <row r="123" spans="1:9" x14ac:dyDescent="0.2">
      <c r="A123">
        <v>1</v>
      </c>
      <c r="B123">
        <v>1</v>
      </c>
      <c r="C123">
        <v>122</v>
      </c>
      <c r="E123">
        <v>81.296999999999997</v>
      </c>
      <c r="F123">
        <v>94.513999999999996</v>
      </c>
      <c r="G123">
        <v>175.78399999999999</v>
      </c>
      <c r="H123">
        <v>2.2149999999999999</v>
      </c>
      <c r="I123">
        <v>2.081</v>
      </c>
    </row>
    <row r="124" spans="1:9" x14ac:dyDescent="0.2">
      <c r="A124">
        <v>1</v>
      </c>
      <c r="B124">
        <v>1</v>
      </c>
      <c r="C124">
        <v>123</v>
      </c>
      <c r="E124">
        <v>81.510000000000005</v>
      </c>
      <c r="F124">
        <v>94.326999999999998</v>
      </c>
      <c r="G124">
        <v>175.839</v>
      </c>
      <c r="H124">
        <v>2.036</v>
      </c>
      <c r="I124">
        <v>1.528</v>
      </c>
    </row>
    <row r="125" spans="1:9" x14ac:dyDescent="0.2">
      <c r="A125">
        <v>1</v>
      </c>
      <c r="B125">
        <v>1</v>
      </c>
      <c r="C125">
        <v>124</v>
      </c>
      <c r="E125">
        <v>81.442999999999998</v>
      </c>
      <c r="F125">
        <v>94.734999999999999</v>
      </c>
      <c r="G125">
        <v>176.18100000000001</v>
      </c>
      <c r="H125">
        <v>1.6579999999999999</v>
      </c>
      <c r="I125">
        <v>1.7529999999999999</v>
      </c>
    </row>
    <row r="126" spans="1:9" x14ac:dyDescent="0.2">
      <c r="A126">
        <v>1</v>
      </c>
      <c r="B126">
        <v>1</v>
      </c>
      <c r="C126">
        <v>125</v>
      </c>
      <c r="E126">
        <v>81.507999999999996</v>
      </c>
      <c r="F126">
        <v>94.566999999999993</v>
      </c>
      <c r="G126">
        <v>176.059</v>
      </c>
      <c r="H126">
        <v>1.962</v>
      </c>
      <c r="I126">
        <v>2.2530000000000001</v>
      </c>
    </row>
    <row r="127" spans="1:9" x14ac:dyDescent="0.2">
      <c r="A127">
        <v>1</v>
      </c>
      <c r="B127">
        <v>1</v>
      </c>
      <c r="C127">
        <v>126</v>
      </c>
      <c r="E127">
        <v>80.787999999999997</v>
      </c>
      <c r="F127">
        <v>95.361000000000004</v>
      </c>
      <c r="G127">
        <v>176.15799999999999</v>
      </c>
      <c r="H127">
        <v>2.0579999999999998</v>
      </c>
      <c r="I127">
        <v>2.496</v>
      </c>
    </row>
    <row r="128" spans="1:9" x14ac:dyDescent="0.2">
      <c r="A128">
        <v>1</v>
      </c>
      <c r="B128">
        <v>1</v>
      </c>
      <c r="C128">
        <v>127</v>
      </c>
      <c r="E128">
        <v>80.921000000000006</v>
      </c>
      <c r="F128">
        <v>94.850999999999999</v>
      </c>
      <c r="G128">
        <v>175.79400000000001</v>
      </c>
      <c r="H128">
        <v>2.2309999999999999</v>
      </c>
      <c r="I128">
        <v>2.4729999999999999</v>
      </c>
    </row>
    <row r="129" spans="1:9" x14ac:dyDescent="0.2">
      <c r="A129">
        <v>1</v>
      </c>
      <c r="B129">
        <v>1</v>
      </c>
      <c r="C129">
        <v>128</v>
      </c>
      <c r="E129">
        <v>81.438000000000002</v>
      </c>
      <c r="F129">
        <v>94.652000000000001</v>
      </c>
      <c r="G129">
        <v>176.06200000000001</v>
      </c>
      <c r="H129">
        <v>1.9990000000000001</v>
      </c>
      <c r="I129">
        <v>2.0289999999999999</v>
      </c>
    </row>
    <row r="130" spans="1:9" x14ac:dyDescent="0.2">
      <c r="A130">
        <v>1</v>
      </c>
      <c r="B130">
        <v>1</v>
      </c>
      <c r="C130">
        <v>129</v>
      </c>
      <c r="E130">
        <v>81.216999999999999</v>
      </c>
      <c r="F130">
        <v>94.87</v>
      </c>
      <c r="G130">
        <v>176.08699999999999</v>
      </c>
      <c r="H130">
        <v>2.5459999999999998</v>
      </c>
      <c r="I130">
        <v>2.1240000000000001</v>
      </c>
    </row>
    <row r="131" spans="1:9" x14ac:dyDescent="0.2">
      <c r="A131">
        <v>1</v>
      </c>
      <c r="B131">
        <v>1</v>
      </c>
      <c r="C131">
        <v>130</v>
      </c>
      <c r="E131">
        <v>81.298000000000002</v>
      </c>
      <c r="F131">
        <v>94.73</v>
      </c>
      <c r="G131">
        <v>176.172</v>
      </c>
      <c r="H131">
        <v>2.448</v>
      </c>
      <c r="I131">
        <v>2.589</v>
      </c>
    </row>
    <row r="132" spans="1:9" x14ac:dyDescent="0.2">
      <c r="A132">
        <v>1</v>
      </c>
      <c r="B132">
        <v>1</v>
      </c>
      <c r="C132">
        <v>131</v>
      </c>
      <c r="E132">
        <v>80.97</v>
      </c>
      <c r="F132">
        <v>95.146000000000001</v>
      </c>
      <c r="G132">
        <v>176.11199999999999</v>
      </c>
      <c r="H132">
        <v>2.3159999999999998</v>
      </c>
      <c r="I132">
        <v>2.1760000000000002</v>
      </c>
    </row>
    <row r="133" spans="1:9" x14ac:dyDescent="0.2">
      <c r="A133">
        <v>1</v>
      </c>
      <c r="B133">
        <v>1</v>
      </c>
      <c r="C133">
        <v>132</v>
      </c>
      <c r="E133">
        <v>81.116</v>
      </c>
      <c r="F133">
        <v>94.825999999999993</v>
      </c>
      <c r="G133">
        <v>176</v>
      </c>
      <c r="H133">
        <v>2.1320000000000001</v>
      </c>
      <c r="I133">
        <v>2.2749999999999999</v>
      </c>
    </row>
    <row r="134" spans="1:9" x14ac:dyDescent="0.2">
      <c r="A134">
        <v>1</v>
      </c>
      <c r="B134">
        <v>1</v>
      </c>
      <c r="C134">
        <v>133</v>
      </c>
      <c r="E134">
        <v>81.605999999999995</v>
      </c>
      <c r="F134">
        <v>94.477999999999994</v>
      </c>
      <c r="G134">
        <v>176.15799999999999</v>
      </c>
      <c r="H134">
        <v>2.0379999999999998</v>
      </c>
      <c r="I134">
        <v>2.2149999999999999</v>
      </c>
    </row>
    <row r="135" spans="1:9" x14ac:dyDescent="0.2">
      <c r="A135">
        <v>1</v>
      </c>
      <c r="B135">
        <v>1</v>
      </c>
      <c r="C135">
        <v>134</v>
      </c>
      <c r="E135">
        <v>81.013999999999996</v>
      </c>
      <c r="F135">
        <v>94.724000000000004</v>
      </c>
      <c r="G135">
        <v>175.744</v>
      </c>
      <c r="H135">
        <v>2.282</v>
      </c>
      <c r="I135">
        <v>1.587</v>
      </c>
    </row>
    <row r="136" spans="1:9" x14ac:dyDescent="0.2">
      <c r="A136">
        <v>1</v>
      </c>
      <c r="B136">
        <v>1</v>
      </c>
      <c r="C136">
        <v>135</v>
      </c>
      <c r="E136">
        <v>81.498999999999995</v>
      </c>
      <c r="F136">
        <v>94.813000000000002</v>
      </c>
      <c r="G136">
        <v>176.34399999999999</v>
      </c>
      <c r="H136">
        <v>2.2890000000000001</v>
      </c>
      <c r="I136">
        <v>1.911</v>
      </c>
    </row>
    <row r="137" spans="1:9" x14ac:dyDescent="0.2">
      <c r="A137">
        <v>1</v>
      </c>
      <c r="B137">
        <v>1</v>
      </c>
      <c r="C137">
        <v>136</v>
      </c>
      <c r="E137">
        <v>81.069999999999993</v>
      </c>
      <c r="F137">
        <v>94.578000000000003</v>
      </c>
      <c r="G137">
        <v>175.702</v>
      </c>
      <c r="H137">
        <v>1.921</v>
      </c>
      <c r="I137">
        <v>2.2149999999999999</v>
      </c>
    </row>
    <row r="138" spans="1:9" x14ac:dyDescent="0.2">
      <c r="A138">
        <v>1</v>
      </c>
      <c r="B138">
        <v>1</v>
      </c>
      <c r="C138">
        <v>137</v>
      </c>
      <c r="E138">
        <v>81.385999999999996</v>
      </c>
      <c r="F138">
        <v>94.584999999999994</v>
      </c>
      <c r="G138">
        <v>175.934</v>
      </c>
      <c r="H138">
        <v>2.173</v>
      </c>
      <c r="I138">
        <v>1.7350000000000001</v>
      </c>
    </row>
    <row r="139" spans="1:9" x14ac:dyDescent="0.2">
      <c r="A139">
        <v>1</v>
      </c>
      <c r="B139">
        <v>1</v>
      </c>
      <c r="C139">
        <v>138</v>
      </c>
      <c r="E139">
        <v>81.070999999999998</v>
      </c>
      <c r="F139">
        <v>94.811000000000007</v>
      </c>
      <c r="G139">
        <v>175.815</v>
      </c>
      <c r="H139">
        <v>1.96</v>
      </c>
      <c r="I139">
        <v>1.9850000000000001</v>
      </c>
    </row>
    <row r="140" spans="1:9" x14ac:dyDescent="0.2">
      <c r="A140">
        <v>1</v>
      </c>
      <c r="B140">
        <v>1</v>
      </c>
      <c r="C140">
        <v>139</v>
      </c>
      <c r="E140">
        <v>81.369</v>
      </c>
      <c r="F140">
        <v>94.796999999999997</v>
      </c>
      <c r="G140">
        <v>176.15</v>
      </c>
      <c r="H140">
        <v>1.992</v>
      </c>
      <c r="I140">
        <v>1.7010000000000001</v>
      </c>
    </row>
    <row r="141" spans="1:9" x14ac:dyDescent="0.2">
      <c r="A141">
        <v>1</v>
      </c>
      <c r="B141">
        <v>1</v>
      </c>
      <c r="C141">
        <v>140</v>
      </c>
      <c r="E141">
        <v>81.132000000000005</v>
      </c>
      <c r="F141">
        <v>94.8</v>
      </c>
      <c r="G141">
        <v>175.93100000000001</v>
      </c>
      <c r="H141">
        <v>2.2429999999999999</v>
      </c>
      <c r="I141">
        <v>1.865</v>
      </c>
    </row>
    <row r="142" spans="1:9" x14ac:dyDescent="0.2">
      <c r="A142">
        <v>1</v>
      </c>
      <c r="B142">
        <v>1</v>
      </c>
      <c r="C142">
        <v>141</v>
      </c>
      <c r="E142">
        <v>81.227999999999994</v>
      </c>
      <c r="F142">
        <v>94.668999999999997</v>
      </c>
      <c r="G142">
        <v>175.95</v>
      </c>
      <c r="H142">
        <v>2.294</v>
      </c>
      <c r="I142">
        <v>2.8</v>
      </c>
    </row>
    <row r="143" spans="1:9" x14ac:dyDescent="0.2">
      <c r="A143">
        <v>1</v>
      </c>
      <c r="B143">
        <v>1</v>
      </c>
      <c r="C143">
        <v>142</v>
      </c>
      <c r="E143">
        <v>80.986999999999995</v>
      </c>
      <c r="F143">
        <v>94.882999999999996</v>
      </c>
      <c r="G143">
        <v>175.87899999999999</v>
      </c>
      <c r="H143">
        <v>2.4</v>
      </c>
      <c r="I143">
        <v>2.4049999999999998</v>
      </c>
    </row>
    <row r="144" spans="1:9" x14ac:dyDescent="0.2">
      <c r="A144">
        <v>1</v>
      </c>
      <c r="B144">
        <v>1</v>
      </c>
      <c r="C144">
        <v>143</v>
      </c>
      <c r="E144">
        <v>81.03</v>
      </c>
      <c r="F144">
        <v>94.837999999999994</v>
      </c>
      <c r="G144">
        <v>175.89500000000001</v>
      </c>
      <c r="H144">
        <v>2.2890000000000001</v>
      </c>
      <c r="I144">
        <v>2.0910000000000002</v>
      </c>
    </row>
    <row r="145" spans="1:9" x14ac:dyDescent="0.2">
      <c r="A145">
        <v>1</v>
      </c>
      <c r="B145">
        <v>1</v>
      </c>
      <c r="C145">
        <v>144</v>
      </c>
      <c r="E145">
        <v>81.174999999999997</v>
      </c>
      <c r="F145">
        <v>95.049000000000007</v>
      </c>
      <c r="G145">
        <v>176.24100000000001</v>
      </c>
      <c r="H145">
        <v>1.948</v>
      </c>
      <c r="I145">
        <v>2.7280000000000002</v>
      </c>
    </row>
    <row r="146" spans="1:9" x14ac:dyDescent="0.2">
      <c r="A146">
        <v>1</v>
      </c>
      <c r="B146">
        <v>1</v>
      </c>
      <c r="C146">
        <v>145</v>
      </c>
      <c r="E146">
        <v>81.102000000000004</v>
      </c>
      <c r="F146">
        <v>94.93</v>
      </c>
      <c r="G146">
        <v>176.01400000000001</v>
      </c>
      <c r="H146">
        <v>2.6389999999999998</v>
      </c>
      <c r="I146">
        <v>2.0640000000000001</v>
      </c>
    </row>
    <row r="147" spans="1:9" x14ac:dyDescent="0.2">
      <c r="A147">
        <v>1</v>
      </c>
      <c r="B147">
        <v>1</v>
      </c>
      <c r="C147">
        <v>146</v>
      </c>
      <c r="E147">
        <v>81.156999999999996</v>
      </c>
      <c r="F147">
        <v>94.44</v>
      </c>
      <c r="G147">
        <v>175.68899999999999</v>
      </c>
      <c r="H147">
        <v>2.3340000000000001</v>
      </c>
      <c r="I147">
        <v>2.274</v>
      </c>
    </row>
    <row r="148" spans="1:9" x14ac:dyDescent="0.2">
      <c r="A148">
        <v>1</v>
      </c>
      <c r="B148">
        <v>1</v>
      </c>
      <c r="C148">
        <v>147</v>
      </c>
      <c r="E148">
        <v>81.293999999999997</v>
      </c>
      <c r="F148">
        <v>94.775999999999996</v>
      </c>
      <c r="G148">
        <v>176.03200000000001</v>
      </c>
      <c r="H148">
        <v>2.4279999999999999</v>
      </c>
      <c r="I148">
        <v>2.1150000000000002</v>
      </c>
    </row>
    <row r="149" spans="1:9" x14ac:dyDescent="0.2">
      <c r="A149">
        <v>1</v>
      </c>
      <c r="B149">
        <v>1</v>
      </c>
      <c r="C149">
        <v>148</v>
      </c>
      <c r="E149">
        <v>81.548000000000002</v>
      </c>
      <c r="F149">
        <v>94.703000000000003</v>
      </c>
      <c r="G149">
        <v>176.19399999999999</v>
      </c>
      <c r="H149">
        <v>2.0310000000000001</v>
      </c>
      <c r="I149">
        <v>1.5649999999999999</v>
      </c>
    </row>
    <row r="150" spans="1:9" x14ac:dyDescent="0.2">
      <c r="A150">
        <v>1</v>
      </c>
      <c r="B150">
        <v>1</v>
      </c>
      <c r="C150">
        <v>149</v>
      </c>
      <c r="E150">
        <v>81.230999999999995</v>
      </c>
      <c r="F150">
        <v>94.572999999999993</v>
      </c>
      <c r="G150">
        <v>175.78100000000001</v>
      </c>
      <c r="H150">
        <v>2.637</v>
      </c>
      <c r="I150">
        <v>2.1040000000000001</v>
      </c>
    </row>
    <row r="151" spans="1:9" x14ac:dyDescent="0.2">
      <c r="A151">
        <v>1</v>
      </c>
      <c r="B151">
        <v>1</v>
      </c>
      <c r="C151">
        <v>150</v>
      </c>
      <c r="E151">
        <v>81.331000000000003</v>
      </c>
      <c r="F151">
        <v>94.828999999999994</v>
      </c>
      <c r="G151">
        <v>176.149</v>
      </c>
      <c r="H151">
        <v>2.7890000000000001</v>
      </c>
      <c r="I151">
        <v>2.3149999999999999</v>
      </c>
    </row>
    <row r="152" spans="1:9" x14ac:dyDescent="0.2">
      <c r="A152">
        <v>1</v>
      </c>
      <c r="B152">
        <v>1</v>
      </c>
      <c r="C152">
        <v>151</v>
      </c>
      <c r="E152">
        <v>80.849999999999994</v>
      </c>
      <c r="F152">
        <v>94.722999999999999</v>
      </c>
      <c r="G152">
        <v>175.58799999999999</v>
      </c>
      <c r="H152">
        <v>1.6240000000000001</v>
      </c>
      <c r="I152">
        <v>2.1440000000000001</v>
      </c>
    </row>
    <row r="153" spans="1:9" x14ac:dyDescent="0.2">
      <c r="A153">
        <v>1</v>
      </c>
      <c r="B153">
        <v>1</v>
      </c>
      <c r="C153">
        <v>152</v>
      </c>
      <c r="E153">
        <v>80.748000000000005</v>
      </c>
      <c r="F153">
        <v>95.227999999999994</v>
      </c>
      <c r="G153">
        <v>176.054</v>
      </c>
      <c r="H153">
        <v>2.1970000000000001</v>
      </c>
      <c r="I153">
        <v>2.032</v>
      </c>
    </row>
    <row r="154" spans="1:9" x14ac:dyDescent="0.2">
      <c r="A154">
        <v>1</v>
      </c>
      <c r="B154">
        <v>1</v>
      </c>
      <c r="C154">
        <v>153</v>
      </c>
      <c r="E154">
        <v>81.427000000000007</v>
      </c>
      <c r="F154">
        <v>94.879000000000005</v>
      </c>
      <c r="G154">
        <v>176.36699999999999</v>
      </c>
      <c r="H154">
        <v>2.0470000000000002</v>
      </c>
      <c r="I154">
        <v>2.109</v>
      </c>
    </row>
    <row r="155" spans="1:9" x14ac:dyDescent="0.2">
      <c r="A155">
        <v>1</v>
      </c>
      <c r="B155">
        <v>1</v>
      </c>
      <c r="C155">
        <v>154</v>
      </c>
      <c r="E155">
        <v>80.998999999999995</v>
      </c>
      <c r="F155">
        <v>94.617999999999995</v>
      </c>
      <c r="G155">
        <v>175.68299999999999</v>
      </c>
      <c r="H155">
        <v>2.0630000000000002</v>
      </c>
      <c r="I155">
        <v>2.194</v>
      </c>
    </row>
    <row r="156" spans="1:9" x14ac:dyDescent="0.2">
      <c r="A156">
        <v>1</v>
      </c>
      <c r="B156">
        <v>1</v>
      </c>
      <c r="C156">
        <v>155</v>
      </c>
      <c r="E156">
        <v>80.917000000000002</v>
      </c>
      <c r="F156">
        <v>94.906999999999996</v>
      </c>
      <c r="G156">
        <v>175.81100000000001</v>
      </c>
      <c r="H156">
        <v>2.133</v>
      </c>
      <c r="I156">
        <v>1.9019999999999999</v>
      </c>
    </row>
    <row r="157" spans="1:9" x14ac:dyDescent="0.2">
      <c r="A157">
        <v>1</v>
      </c>
      <c r="B157">
        <v>1</v>
      </c>
      <c r="C157">
        <v>156</v>
      </c>
      <c r="E157">
        <v>80.804000000000002</v>
      </c>
      <c r="F157">
        <v>94.820999999999998</v>
      </c>
      <c r="G157">
        <v>175.643</v>
      </c>
      <c r="H157">
        <v>1.984</v>
      </c>
      <c r="I157">
        <v>1.966</v>
      </c>
    </row>
    <row r="158" spans="1:9" x14ac:dyDescent="0.2">
      <c r="A158">
        <v>1</v>
      </c>
      <c r="B158">
        <v>1</v>
      </c>
      <c r="C158">
        <v>157</v>
      </c>
      <c r="E158">
        <v>80.819000000000003</v>
      </c>
      <c r="F158">
        <v>95.527000000000001</v>
      </c>
      <c r="G158">
        <v>176.381</v>
      </c>
      <c r="H158">
        <v>2.0529999999999999</v>
      </c>
      <c r="I158">
        <v>1.9279999999999999</v>
      </c>
    </row>
    <row r="159" spans="1:9" x14ac:dyDescent="0.2">
      <c r="A159">
        <v>1</v>
      </c>
      <c r="B159">
        <v>1</v>
      </c>
      <c r="C159">
        <v>158</v>
      </c>
      <c r="E159">
        <v>81.132999999999996</v>
      </c>
      <c r="F159">
        <v>94.745000000000005</v>
      </c>
      <c r="G159">
        <v>175.91499999999999</v>
      </c>
      <c r="H159">
        <v>2.484</v>
      </c>
      <c r="I159">
        <v>1.88</v>
      </c>
    </row>
    <row r="160" spans="1:9" x14ac:dyDescent="0.2">
      <c r="A160">
        <v>1</v>
      </c>
      <c r="B160">
        <v>1</v>
      </c>
      <c r="C160">
        <v>159</v>
      </c>
      <c r="E160">
        <v>81.375</v>
      </c>
      <c r="F160">
        <v>94.497</v>
      </c>
      <c r="G160">
        <v>175.80799999999999</v>
      </c>
      <c r="H160">
        <v>2.226</v>
      </c>
      <c r="I160">
        <v>2.012</v>
      </c>
    </row>
    <row r="161" spans="1:9" x14ac:dyDescent="0.2">
      <c r="A161">
        <v>1</v>
      </c>
      <c r="B161">
        <v>1</v>
      </c>
      <c r="C161">
        <v>160</v>
      </c>
      <c r="E161">
        <v>80.771000000000001</v>
      </c>
      <c r="F161">
        <v>94.858000000000004</v>
      </c>
      <c r="G161">
        <v>175.595</v>
      </c>
      <c r="H161">
        <v>1.766</v>
      </c>
      <c r="I161">
        <v>2.2250000000000001</v>
      </c>
    </row>
    <row r="162" spans="1:9" x14ac:dyDescent="0.2">
      <c r="A162">
        <v>1</v>
      </c>
      <c r="B162">
        <v>1</v>
      </c>
      <c r="C162">
        <v>161</v>
      </c>
      <c r="E162">
        <v>81.244</v>
      </c>
      <c r="F162">
        <v>94.653999999999996</v>
      </c>
      <c r="G162">
        <v>175.91800000000001</v>
      </c>
      <c r="H162">
        <v>1.992</v>
      </c>
      <c r="I162">
        <v>2.0539999999999998</v>
      </c>
    </row>
    <row r="163" spans="1:9" x14ac:dyDescent="0.2">
      <c r="A163">
        <v>1</v>
      </c>
      <c r="B163">
        <v>1</v>
      </c>
      <c r="C163">
        <v>162</v>
      </c>
      <c r="E163">
        <v>80.83</v>
      </c>
      <c r="F163">
        <v>95.501999999999995</v>
      </c>
      <c r="G163">
        <v>176.31800000000001</v>
      </c>
      <c r="H163">
        <v>2.121</v>
      </c>
      <c r="I163">
        <v>1.8340000000000001</v>
      </c>
    </row>
    <row r="164" spans="1:9" x14ac:dyDescent="0.2">
      <c r="A164">
        <v>1</v>
      </c>
      <c r="B164">
        <v>1</v>
      </c>
      <c r="C164">
        <v>163</v>
      </c>
      <c r="E164">
        <v>81.314999999999998</v>
      </c>
      <c r="F164">
        <v>94.908000000000001</v>
      </c>
      <c r="G164">
        <v>176.21600000000001</v>
      </c>
      <c r="H164">
        <v>1.5369999999999999</v>
      </c>
      <c r="I164">
        <v>1.7569999999999999</v>
      </c>
    </row>
    <row r="165" spans="1:9" x14ac:dyDescent="0.2">
      <c r="A165">
        <v>1</v>
      </c>
      <c r="B165">
        <v>1</v>
      </c>
      <c r="C165">
        <v>164</v>
      </c>
      <c r="E165">
        <v>81.126000000000005</v>
      </c>
      <c r="F165">
        <v>94.778999999999996</v>
      </c>
      <c r="G165">
        <v>175.96100000000001</v>
      </c>
      <c r="H165">
        <v>1.853</v>
      </c>
      <c r="I165">
        <v>1.9339999999999999</v>
      </c>
    </row>
    <row r="166" spans="1:9" x14ac:dyDescent="0.2">
      <c r="A166">
        <v>1</v>
      </c>
      <c r="B166">
        <v>1</v>
      </c>
      <c r="C166">
        <v>165</v>
      </c>
      <c r="E166">
        <v>80.650999999999996</v>
      </c>
      <c r="F166">
        <v>95.009</v>
      </c>
      <c r="G166">
        <v>175.63</v>
      </c>
      <c r="H166">
        <v>2.0910000000000002</v>
      </c>
      <c r="I166">
        <v>1.9690000000000001</v>
      </c>
    </row>
    <row r="167" spans="1:9" x14ac:dyDescent="0.2">
      <c r="A167">
        <v>1</v>
      </c>
      <c r="B167">
        <v>1</v>
      </c>
      <c r="C167">
        <v>166</v>
      </c>
      <c r="E167">
        <v>81.231999999999999</v>
      </c>
      <c r="F167">
        <v>94.611000000000004</v>
      </c>
      <c r="G167">
        <v>175.83699999999999</v>
      </c>
      <c r="H167">
        <v>2.1890000000000001</v>
      </c>
      <c r="I167">
        <v>1.9350000000000001</v>
      </c>
    </row>
    <row r="168" spans="1:9" x14ac:dyDescent="0.2">
      <c r="A168">
        <v>1</v>
      </c>
      <c r="B168">
        <v>1</v>
      </c>
      <c r="C168">
        <v>167</v>
      </c>
      <c r="E168">
        <v>80.498000000000005</v>
      </c>
      <c r="F168">
        <v>95.751999999999995</v>
      </c>
      <c r="G168">
        <v>176.333</v>
      </c>
      <c r="H168">
        <v>2.1309999999999998</v>
      </c>
      <c r="I168">
        <v>1.827</v>
      </c>
    </row>
    <row r="169" spans="1:9" x14ac:dyDescent="0.2">
      <c r="A169">
        <v>1</v>
      </c>
      <c r="B169">
        <v>1</v>
      </c>
      <c r="C169">
        <v>168</v>
      </c>
      <c r="E169">
        <v>81.363</v>
      </c>
      <c r="F169">
        <v>94.82</v>
      </c>
      <c r="G169">
        <v>176.20400000000001</v>
      </c>
      <c r="H169">
        <v>2.0569999999999999</v>
      </c>
      <c r="I169">
        <v>2.1190000000000002</v>
      </c>
    </row>
    <row r="170" spans="1:9" x14ac:dyDescent="0.2">
      <c r="A170">
        <v>1</v>
      </c>
      <c r="B170">
        <v>1</v>
      </c>
      <c r="C170">
        <v>169</v>
      </c>
      <c r="E170">
        <v>81.057000000000002</v>
      </c>
      <c r="F170">
        <v>94.593999999999994</v>
      </c>
      <c r="G170">
        <v>175.559</v>
      </c>
      <c r="H170">
        <v>2.4950000000000001</v>
      </c>
      <c r="I170">
        <v>1.5049999999999999</v>
      </c>
    </row>
    <row r="171" spans="1:9" x14ac:dyDescent="0.2">
      <c r="A171">
        <v>1</v>
      </c>
      <c r="B171">
        <v>1</v>
      </c>
      <c r="C171">
        <v>170</v>
      </c>
      <c r="E171">
        <v>80.856999999999999</v>
      </c>
      <c r="F171">
        <v>94.745999999999995</v>
      </c>
      <c r="G171">
        <v>175.55199999999999</v>
      </c>
      <c r="H171">
        <v>2.1680000000000001</v>
      </c>
      <c r="I171">
        <v>1.956</v>
      </c>
    </row>
    <row r="172" spans="1:9" x14ac:dyDescent="0.2">
      <c r="A172">
        <v>1</v>
      </c>
      <c r="B172">
        <v>1</v>
      </c>
      <c r="C172">
        <v>171</v>
      </c>
      <c r="E172">
        <v>81.126999999999995</v>
      </c>
      <c r="F172">
        <v>94.42</v>
      </c>
      <c r="G172">
        <v>175.60400000000001</v>
      </c>
      <c r="H172">
        <v>1.712</v>
      </c>
      <c r="I172">
        <v>1.8049999999999999</v>
      </c>
    </row>
    <row r="173" spans="1:9" x14ac:dyDescent="0.2">
      <c r="A173">
        <v>1</v>
      </c>
      <c r="B173">
        <v>1</v>
      </c>
      <c r="C173">
        <v>172</v>
      </c>
      <c r="E173">
        <v>80.709999999999994</v>
      </c>
      <c r="F173">
        <v>95.343000000000004</v>
      </c>
      <c r="G173">
        <v>176.03299999999999</v>
      </c>
      <c r="H173">
        <v>2.246</v>
      </c>
      <c r="I173">
        <v>1.8009999999999999</v>
      </c>
    </row>
    <row r="174" spans="1:9" x14ac:dyDescent="0.2">
      <c r="A174">
        <v>1</v>
      </c>
      <c r="B174">
        <v>1</v>
      </c>
      <c r="C174">
        <v>173</v>
      </c>
      <c r="E174">
        <v>81.307000000000002</v>
      </c>
      <c r="F174">
        <v>94.811000000000007</v>
      </c>
      <c r="G174">
        <v>176.107</v>
      </c>
      <c r="H174">
        <v>2.008</v>
      </c>
      <c r="I174">
        <v>2.0270000000000001</v>
      </c>
    </row>
    <row r="175" spans="1:9" x14ac:dyDescent="0.2">
      <c r="A175">
        <v>1</v>
      </c>
      <c r="B175">
        <v>1</v>
      </c>
      <c r="C175">
        <v>174</v>
      </c>
      <c r="E175">
        <v>80.884</v>
      </c>
      <c r="F175">
        <v>94.983000000000004</v>
      </c>
      <c r="G175">
        <v>175.863</v>
      </c>
      <c r="H175">
        <v>1.978</v>
      </c>
      <c r="I175">
        <v>1.925</v>
      </c>
    </row>
    <row r="176" spans="1:9" x14ac:dyDescent="0.2">
      <c r="A176">
        <v>1</v>
      </c>
      <c r="B176">
        <v>1</v>
      </c>
      <c r="C176">
        <v>175</v>
      </c>
      <c r="E176">
        <v>81.046999999999997</v>
      </c>
      <c r="F176">
        <v>94.557000000000002</v>
      </c>
      <c r="G176">
        <v>175.51300000000001</v>
      </c>
      <c r="H176">
        <v>2.323</v>
      </c>
      <c r="I176">
        <v>1.7150000000000001</v>
      </c>
    </row>
    <row r="177" spans="1:9" x14ac:dyDescent="0.2">
      <c r="A177">
        <v>1</v>
      </c>
      <c r="B177">
        <v>1</v>
      </c>
      <c r="C177">
        <v>176</v>
      </c>
      <c r="E177">
        <v>81.325999999999993</v>
      </c>
      <c r="F177">
        <v>94.793000000000006</v>
      </c>
      <c r="G177">
        <v>176.209</v>
      </c>
      <c r="H177">
        <v>2.2959999999999998</v>
      </c>
      <c r="I177">
        <v>1.9730000000000001</v>
      </c>
    </row>
    <row r="178" spans="1:9" x14ac:dyDescent="0.2">
      <c r="A178">
        <v>1</v>
      </c>
      <c r="B178">
        <v>1</v>
      </c>
      <c r="C178">
        <v>177</v>
      </c>
      <c r="E178">
        <v>81.099999999999994</v>
      </c>
      <c r="F178">
        <v>94.929000000000002</v>
      </c>
      <c r="G178">
        <v>176.06299999999999</v>
      </c>
      <c r="H178">
        <v>1.9319999999999999</v>
      </c>
      <c r="I178">
        <v>2.0859999999999999</v>
      </c>
    </row>
    <row r="179" spans="1:9" x14ac:dyDescent="0.2">
      <c r="A179">
        <v>1</v>
      </c>
      <c r="B179">
        <v>1</v>
      </c>
      <c r="C179">
        <v>178</v>
      </c>
      <c r="E179">
        <v>81.435000000000002</v>
      </c>
      <c r="F179">
        <v>94.460999999999999</v>
      </c>
      <c r="G179">
        <v>175.91200000000001</v>
      </c>
      <c r="H179">
        <v>1.7549999999999999</v>
      </c>
      <c r="I179">
        <v>2.403</v>
      </c>
    </row>
    <row r="180" spans="1:9" x14ac:dyDescent="0.2">
      <c r="A180">
        <v>1</v>
      </c>
      <c r="B180">
        <v>1</v>
      </c>
      <c r="C180">
        <v>179</v>
      </c>
      <c r="E180">
        <v>81.284000000000006</v>
      </c>
      <c r="F180">
        <v>94.96</v>
      </c>
      <c r="G180">
        <v>176.21899999999999</v>
      </c>
      <c r="H180">
        <v>1.948</v>
      </c>
      <c r="I180">
        <v>1.96</v>
      </c>
    </row>
    <row r="181" spans="1:9" x14ac:dyDescent="0.2">
      <c r="A181">
        <v>1</v>
      </c>
      <c r="B181">
        <v>1</v>
      </c>
      <c r="C181">
        <v>180</v>
      </c>
      <c r="E181">
        <v>81.180999999999997</v>
      </c>
      <c r="F181">
        <v>94.941000000000003</v>
      </c>
      <c r="G181">
        <v>176.07</v>
      </c>
      <c r="H181">
        <v>2.1739999999999999</v>
      </c>
      <c r="I181">
        <v>1.7809999999999999</v>
      </c>
    </row>
    <row r="182" spans="1:9" x14ac:dyDescent="0.2">
      <c r="A182">
        <v>1</v>
      </c>
      <c r="B182">
        <v>1</v>
      </c>
      <c r="C182">
        <v>181</v>
      </c>
      <c r="E182">
        <v>81.143000000000001</v>
      </c>
      <c r="F182">
        <v>94.757999999999996</v>
      </c>
      <c r="G182">
        <v>175.946</v>
      </c>
      <c r="H182">
        <v>2.2040000000000002</v>
      </c>
      <c r="I182">
        <v>1.931</v>
      </c>
    </row>
    <row r="183" spans="1:9" x14ac:dyDescent="0.2">
      <c r="A183">
        <v>1</v>
      </c>
      <c r="B183">
        <v>1</v>
      </c>
      <c r="C183">
        <v>182</v>
      </c>
      <c r="E183">
        <v>81.346999999999994</v>
      </c>
      <c r="F183">
        <v>94.563999999999993</v>
      </c>
      <c r="G183">
        <v>176.048</v>
      </c>
      <c r="H183">
        <v>2.1960000000000002</v>
      </c>
      <c r="I183">
        <v>2.2559999999999998</v>
      </c>
    </row>
    <row r="184" spans="1:9" x14ac:dyDescent="0.2">
      <c r="A184">
        <v>1</v>
      </c>
      <c r="B184">
        <v>1</v>
      </c>
      <c r="C184">
        <v>183</v>
      </c>
      <c r="E184">
        <v>81.177999999999997</v>
      </c>
      <c r="F184">
        <v>95.06</v>
      </c>
      <c r="G184">
        <v>176.184</v>
      </c>
      <c r="H184">
        <v>2.1379999999999999</v>
      </c>
      <c r="I184">
        <v>2.5539999999999998</v>
      </c>
    </row>
    <row r="185" spans="1:9" x14ac:dyDescent="0.2">
      <c r="A185">
        <v>1</v>
      </c>
      <c r="B185">
        <v>1</v>
      </c>
      <c r="C185">
        <v>184</v>
      </c>
      <c r="E185">
        <v>81.491</v>
      </c>
      <c r="F185">
        <v>94.596000000000004</v>
      </c>
      <c r="G185">
        <v>176.09</v>
      </c>
      <c r="H185">
        <v>2.3170000000000002</v>
      </c>
      <c r="I185">
        <v>1.9279999999999999</v>
      </c>
    </row>
    <row r="186" spans="1:9" x14ac:dyDescent="0.2">
      <c r="A186">
        <v>1</v>
      </c>
      <c r="B186">
        <v>1</v>
      </c>
      <c r="C186">
        <v>185</v>
      </c>
      <c r="E186">
        <v>81.022000000000006</v>
      </c>
      <c r="F186">
        <v>94.941000000000003</v>
      </c>
      <c r="G186">
        <v>175.935</v>
      </c>
      <c r="H186">
        <v>2.0430000000000001</v>
      </c>
      <c r="I186">
        <v>1.9690000000000001</v>
      </c>
    </row>
    <row r="187" spans="1:9" x14ac:dyDescent="0.2">
      <c r="A187">
        <v>1</v>
      </c>
      <c r="B187">
        <v>1</v>
      </c>
      <c r="C187">
        <v>186</v>
      </c>
      <c r="E187">
        <v>81.239000000000004</v>
      </c>
      <c r="F187">
        <v>94.86</v>
      </c>
      <c r="G187">
        <v>176.06</v>
      </c>
      <c r="H187">
        <v>1.859</v>
      </c>
      <c r="I187">
        <v>1.74</v>
      </c>
    </row>
    <row r="188" spans="1:9" x14ac:dyDescent="0.2">
      <c r="A188">
        <v>1</v>
      </c>
      <c r="B188">
        <v>1</v>
      </c>
      <c r="C188">
        <v>187</v>
      </c>
      <c r="E188">
        <v>81.566000000000003</v>
      </c>
      <c r="F188">
        <v>94.504000000000005</v>
      </c>
      <c r="G188">
        <v>176.05500000000001</v>
      </c>
      <c r="H188">
        <v>2.35</v>
      </c>
      <c r="I188">
        <v>1.851</v>
      </c>
    </row>
    <row r="189" spans="1:9" x14ac:dyDescent="0.2">
      <c r="A189">
        <v>1</v>
      </c>
      <c r="B189">
        <v>1</v>
      </c>
      <c r="C189">
        <v>188</v>
      </c>
      <c r="E189">
        <v>81.099000000000004</v>
      </c>
      <c r="F189">
        <v>94.858999999999995</v>
      </c>
      <c r="G189">
        <v>175.96600000000001</v>
      </c>
      <c r="H189">
        <v>1.6950000000000001</v>
      </c>
      <c r="I189">
        <v>2.41</v>
      </c>
    </row>
    <row r="190" spans="1:9" x14ac:dyDescent="0.2">
      <c r="A190">
        <v>1</v>
      </c>
      <c r="B190">
        <v>1</v>
      </c>
      <c r="C190">
        <v>189</v>
      </c>
      <c r="E190">
        <v>81.174000000000007</v>
      </c>
      <c r="F190">
        <v>94.733999999999995</v>
      </c>
      <c r="G190">
        <v>176.018</v>
      </c>
      <c r="H190">
        <v>2.23</v>
      </c>
      <c r="I190">
        <v>2.3879999999999999</v>
      </c>
    </row>
    <row r="191" spans="1:9" x14ac:dyDescent="0.2">
      <c r="A191">
        <v>1</v>
      </c>
      <c r="B191">
        <v>1</v>
      </c>
      <c r="C191">
        <v>190</v>
      </c>
      <c r="E191">
        <v>81.504999999999995</v>
      </c>
      <c r="F191">
        <v>94.78</v>
      </c>
      <c r="G191">
        <v>176.346</v>
      </c>
      <c r="H191">
        <v>2.17</v>
      </c>
      <c r="I191">
        <v>1.6319999999999999</v>
      </c>
    </row>
    <row r="192" spans="1:9" x14ac:dyDescent="0.2">
      <c r="A192">
        <v>1</v>
      </c>
      <c r="B192">
        <v>1</v>
      </c>
      <c r="C192">
        <v>191</v>
      </c>
      <c r="E192">
        <v>81.114999999999995</v>
      </c>
      <c r="F192">
        <v>94.947000000000003</v>
      </c>
      <c r="G192">
        <v>176.04900000000001</v>
      </c>
      <c r="H192">
        <v>1.573</v>
      </c>
      <c r="I192">
        <v>2.0939999999999999</v>
      </c>
    </row>
    <row r="193" spans="1:9" x14ac:dyDescent="0.2">
      <c r="A193">
        <v>1</v>
      </c>
      <c r="B193">
        <v>1</v>
      </c>
      <c r="C193">
        <v>192</v>
      </c>
      <c r="E193">
        <v>81.570999999999998</v>
      </c>
      <c r="F193">
        <v>94.623999999999995</v>
      </c>
      <c r="G193">
        <v>176.18799999999999</v>
      </c>
      <c r="H193">
        <v>2.0459999999999998</v>
      </c>
      <c r="I193">
        <v>2.1190000000000002</v>
      </c>
    </row>
    <row r="194" spans="1:9" x14ac:dyDescent="0.2">
      <c r="A194">
        <v>1</v>
      </c>
      <c r="B194">
        <v>1</v>
      </c>
      <c r="C194">
        <v>193</v>
      </c>
      <c r="E194">
        <v>81.141000000000005</v>
      </c>
      <c r="F194">
        <v>95.022999999999996</v>
      </c>
      <c r="G194">
        <v>176.09100000000001</v>
      </c>
      <c r="H194">
        <v>1.857</v>
      </c>
      <c r="I194">
        <v>1.921</v>
      </c>
    </row>
    <row r="195" spans="1:9" x14ac:dyDescent="0.2">
      <c r="A195">
        <v>1</v>
      </c>
      <c r="B195">
        <v>1</v>
      </c>
      <c r="C195">
        <v>194</v>
      </c>
      <c r="E195">
        <v>81.031000000000006</v>
      </c>
      <c r="F195">
        <v>94.673000000000002</v>
      </c>
      <c r="G195">
        <v>175.751</v>
      </c>
      <c r="H195">
        <v>2.4300000000000002</v>
      </c>
      <c r="I195">
        <v>2.3879999999999999</v>
      </c>
    </row>
    <row r="196" spans="1:9" x14ac:dyDescent="0.2">
      <c r="A196">
        <v>1</v>
      </c>
      <c r="B196">
        <v>1</v>
      </c>
      <c r="C196">
        <v>195</v>
      </c>
      <c r="E196">
        <v>81.197000000000003</v>
      </c>
      <c r="F196">
        <v>94.766999999999996</v>
      </c>
      <c r="G196">
        <v>175.91900000000001</v>
      </c>
      <c r="H196">
        <v>1.76</v>
      </c>
      <c r="I196">
        <v>2.2450000000000001</v>
      </c>
    </row>
    <row r="197" spans="1:9" x14ac:dyDescent="0.2">
      <c r="A197">
        <v>1</v>
      </c>
      <c r="B197">
        <v>1</v>
      </c>
      <c r="C197">
        <v>196</v>
      </c>
      <c r="E197">
        <v>81.085999999999999</v>
      </c>
      <c r="F197">
        <v>94.768000000000001</v>
      </c>
      <c r="G197">
        <v>175.875</v>
      </c>
      <c r="H197">
        <v>1.865</v>
      </c>
      <c r="I197">
        <v>2.0739999999999998</v>
      </c>
    </row>
    <row r="198" spans="1:9" x14ac:dyDescent="0.2">
      <c r="A198">
        <v>1</v>
      </c>
      <c r="B198">
        <v>1</v>
      </c>
      <c r="C198">
        <v>197</v>
      </c>
      <c r="E198">
        <v>81.292000000000002</v>
      </c>
      <c r="F198">
        <v>94.411000000000001</v>
      </c>
      <c r="G198">
        <v>175.80799999999999</v>
      </c>
      <c r="H198">
        <v>1.81</v>
      </c>
      <c r="I198">
        <v>2.5550000000000002</v>
      </c>
    </row>
    <row r="199" spans="1:9" x14ac:dyDescent="0.2">
      <c r="A199">
        <v>1</v>
      </c>
      <c r="B199">
        <v>1</v>
      </c>
      <c r="C199">
        <v>198</v>
      </c>
      <c r="E199">
        <v>81.790000000000006</v>
      </c>
      <c r="F199">
        <v>94.13</v>
      </c>
      <c r="G199">
        <v>175.95500000000001</v>
      </c>
      <c r="H199">
        <v>1.9830000000000001</v>
      </c>
      <c r="I199">
        <v>1.7490000000000001</v>
      </c>
    </row>
    <row r="200" spans="1:9" x14ac:dyDescent="0.2">
      <c r="A200">
        <v>1</v>
      </c>
      <c r="B200">
        <v>1</v>
      </c>
      <c r="C200">
        <v>199</v>
      </c>
      <c r="E200">
        <v>81.349999999999994</v>
      </c>
      <c r="F200">
        <v>94.495999999999995</v>
      </c>
      <c r="G200">
        <v>175.91200000000001</v>
      </c>
      <c r="H200">
        <v>1.796</v>
      </c>
      <c r="I200">
        <v>2.2149999999999999</v>
      </c>
    </row>
    <row r="201" spans="1:9" x14ac:dyDescent="0.2">
      <c r="A201">
        <v>1</v>
      </c>
      <c r="B201">
        <v>1</v>
      </c>
      <c r="C201">
        <v>200</v>
      </c>
      <c r="E201">
        <v>81.346999999999994</v>
      </c>
      <c r="F201">
        <v>94.519000000000005</v>
      </c>
      <c r="G201">
        <v>175.84100000000001</v>
      </c>
      <c r="H201">
        <v>2.1190000000000002</v>
      </c>
      <c r="I201">
        <v>1.472</v>
      </c>
    </row>
    <row r="202" spans="1:9" x14ac:dyDescent="0.2">
      <c r="A202">
        <v>1</v>
      </c>
      <c r="B202">
        <v>1</v>
      </c>
      <c r="C202">
        <v>201</v>
      </c>
      <c r="E202">
        <v>81.36</v>
      </c>
      <c r="F202">
        <v>94.76</v>
      </c>
      <c r="G202">
        <v>176.19900000000001</v>
      </c>
      <c r="H202">
        <v>2.1920000000000002</v>
      </c>
      <c r="I202">
        <v>1.8759999999999999</v>
      </c>
    </row>
    <row r="203" spans="1:9" x14ac:dyDescent="0.2">
      <c r="A203">
        <v>1</v>
      </c>
      <c r="B203">
        <v>1</v>
      </c>
      <c r="C203">
        <v>202</v>
      </c>
      <c r="E203">
        <v>81.308000000000007</v>
      </c>
      <c r="F203">
        <v>94.858999999999995</v>
      </c>
      <c r="G203">
        <v>176.108</v>
      </c>
      <c r="H203">
        <v>1.9530000000000001</v>
      </c>
      <c r="I203">
        <v>2.1480000000000001</v>
      </c>
    </row>
    <row r="204" spans="1:9" x14ac:dyDescent="0.2">
      <c r="A204">
        <v>1</v>
      </c>
      <c r="B204">
        <v>1</v>
      </c>
      <c r="C204">
        <v>203</v>
      </c>
      <c r="E204">
        <v>81.155000000000001</v>
      </c>
      <c r="F204">
        <v>94.951999999999998</v>
      </c>
      <c r="G204">
        <v>176.113</v>
      </c>
      <c r="H204">
        <v>2.1360000000000001</v>
      </c>
      <c r="I204">
        <v>1.7230000000000001</v>
      </c>
    </row>
    <row r="205" spans="1:9" x14ac:dyDescent="0.2">
      <c r="A205">
        <v>1</v>
      </c>
      <c r="B205">
        <v>1</v>
      </c>
      <c r="C205">
        <v>204</v>
      </c>
      <c r="E205">
        <v>80.900999999999996</v>
      </c>
      <c r="F205">
        <v>94.924999999999997</v>
      </c>
      <c r="G205">
        <v>175.803</v>
      </c>
      <c r="H205">
        <v>2.57</v>
      </c>
      <c r="I205">
        <v>1.9510000000000001</v>
      </c>
    </row>
    <row r="206" spans="1:9" x14ac:dyDescent="0.2">
      <c r="A206">
        <v>1</v>
      </c>
      <c r="B206">
        <v>1</v>
      </c>
      <c r="C206">
        <v>205</v>
      </c>
      <c r="E206">
        <v>80.989999999999995</v>
      </c>
      <c r="F206">
        <v>94.849000000000004</v>
      </c>
      <c r="G206">
        <v>175.92599999999999</v>
      </c>
      <c r="H206">
        <v>2.004</v>
      </c>
      <c r="I206">
        <v>2.6989999999999998</v>
      </c>
    </row>
    <row r="207" spans="1:9" x14ac:dyDescent="0.2">
      <c r="A207">
        <v>1</v>
      </c>
      <c r="B207">
        <v>1</v>
      </c>
      <c r="C207">
        <v>206</v>
      </c>
      <c r="E207">
        <v>81.281999999999996</v>
      </c>
      <c r="F207">
        <v>94.802000000000007</v>
      </c>
      <c r="G207">
        <v>176.14099999999999</v>
      </c>
      <c r="H207">
        <v>1.891</v>
      </c>
      <c r="I207">
        <v>2.0259999999999998</v>
      </c>
    </row>
    <row r="208" spans="1:9" x14ac:dyDescent="0.2">
      <c r="A208">
        <v>1</v>
      </c>
      <c r="B208">
        <v>1</v>
      </c>
      <c r="C208">
        <v>207</v>
      </c>
      <c r="E208">
        <v>81.317999999999998</v>
      </c>
      <c r="F208">
        <v>94.692999999999998</v>
      </c>
      <c r="G208">
        <v>175.93299999999999</v>
      </c>
      <c r="H208">
        <v>2.3170000000000002</v>
      </c>
      <c r="I208">
        <v>2.1480000000000001</v>
      </c>
    </row>
    <row r="209" spans="1:9" x14ac:dyDescent="0.2">
      <c r="A209">
        <v>1</v>
      </c>
      <c r="B209">
        <v>1</v>
      </c>
      <c r="C209">
        <v>208</v>
      </c>
      <c r="E209">
        <v>81.424999999999997</v>
      </c>
      <c r="F209">
        <v>94.861000000000004</v>
      </c>
      <c r="G209">
        <v>176.27699999999999</v>
      </c>
      <c r="H209">
        <v>2.0289999999999999</v>
      </c>
      <c r="I209">
        <v>2.44</v>
      </c>
    </row>
    <row r="210" spans="1:9" x14ac:dyDescent="0.2">
      <c r="A210">
        <v>1</v>
      </c>
      <c r="B210">
        <v>1</v>
      </c>
      <c r="C210">
        <v>209</v>
      </c>
      <c r="E210">
        <v>81.346000000000004</v>
      </c>
      <c r="F210">
        <v>94.632000000000005</v>
      </c>
      <c r="G210">
        <v>175.94300000000001</v>
      </c>
      <c r="H210">
        <v>2.35</v>
      </c>
      <c r="I210">
        <v>2.0259999999999998</v>
      </c>
    </row>
    <row r="211" spans="1:9" x14ac:dyDescent="0.2">
      <c r="A211">
        <v>1</v>
      </c>
      <c r="B211">
        <v>1</v>
      </c>
      <c r="C211">
        <v>210</v>
      </c>
      <c r="E211">
        <v>81.313999999999993</v>
      </c>
      <c r="F211">
        <v>94.603999999999999</v>
      </c>
      <c r="G211">
        <v>175.923</v>
      </c>
      <c r="H211">
        <v>2.3580000000000001</v>
      </c>
      <c r="I211">
        <v>2.3319999999999999</v>
      </c>
    </row>
    <row r="212" spans="1:9" x14ac:dyDescent="0.2">
      <c r="A212">
        <v>1</v>
      </c>
      <c r="B212">
        <v>1</v>
      </c>
      <c r="C212">
        <v>211</v>
      </c>
      <c r="E212">
        <v>81.253</v>
      </c>
      <c r="F212">
        <v>94.733999999999995</v>
      </c>
      <c r="G212">
        <v>175.99799999999999</v>
      </c>
      <c r="H212">
        <v>2.597</v>
      </c>
      <c r="I212">
        <v>1.5880000000000001</v>
      </c>
    </row>
    <row r="213" spans="1:9" x14ac:dyDescent="0.2">
      <c r="A213">
        <v>1</v>
      </c>
      <c r="B213">
        <v>1</v>
      </c>
      <c r="C213">
        <v>212</v>
      </c>
      <c r="E213">
        <v>81.403000000000006</v>
      </c>
      <c r="F213">
        <v>94.78</v>
      </c>
      <c r="G213">
        <v>176.19200000000001</v>
      </c>
      <c r="H213">
        <v>2.2410000000000001</v>
      </c>
      <c r="I213">
        <v>2.5670000000000002</v>
      </c>
    </row>
    <row r="214" spans="1:9" x14ac:dyDescent="0.2">
      <c r="A214">
        <v>1</v>
      </c>
      <c r="B214">
        <v>1</v>
      </c>
      <c r="C214">
        <v>213</v>
      </c>
      <c r="E214">
        <v>80.897999999999996</v>
      </c>
      <c r="F214">
        <v>95.18</v>
      </c>
      <c r="G214">
        <v>176.03200000000001</v>
      </c>
      <c r="H214">
        <v>2.4780000000000002</v>
      </c>
      <c r="I214">
        <v>1.659</v>
      </c>
    </row>
    <row r="215" spans="1:9" x14ac:dyDescent="0.2">
      <c r="A215">
        <v>1</v>
      </c>
      <c r="B215">
        <v>1</v>
      </c>
      <c r="C215">
        <v>214</v>
      </c>
      <c r="E215">
        <v>81.206999999999994</v>
      </c>
      <c r="F215">
        <v>95.11</v>
      </c>
      <c r="G215">
        <v>176.32300000000001</v>
      </c>
      <c r="H215">
        <v>1.9790000000000001</v>
      </c>
      <c r="I215">
        <v>1.75</v>
      </c>
    </row>
    <row r="216" spans="1:9" x14ac:dyDescent="0.2">
      <c r="A216">
        <v>1</v>
      </c>
      <c r="B216">
        <v>1</v>
      </c>
      <c r="C216">
        <v>215</v>
      </c>
      <c r="E216">
        <v>81.290999999999997</v>
      </c>
      <c r="F216">
        <v>94.71</v>
      </c>
      <c r="G216">
        <v>176.053</v>
      </c>
      <c r="H216">
        <v>2.2029999999999998</v>
      </c>
      <c r="I216">
        <v>2.1240000000000001</v>
      </c>
    </row>
    <row r="217" spans="1:9" x14ac:dyDescent="0.2">
      <c r="A217">
        <v>1</v>
      </c>
      <c r="B217">
        <v>1</v>
      </c>
      <c r="C217">
        <v>216</v>
      </c>
      <c r="E217">
        <v>81.215000000000003</v>
      </c>
      <c r="F217">
        <v>94.918999999999997</v>
      </c>
      <c r="G217">
        <v>176.15199999999999</v>
      </c>
      <c r="H217">
        <v>2.7440000000000002</v>
      </c>
      <c r="I217">
        <v>2.4319999999999999</v>
      </c>
    </row>
    <row r="218" spans="1:9" x14ac:dyDescent="0.2">
      <c r="A218">
        <v>1</v>
      </c>
      <c r="B218">
        <v>1</v>
      </c>
      <c r="C218">
        <v>217</v>
      </c>
      <c r="E218">
        <v>81.162000000000006</v>
      </c>
      <c r="F218">
        <v>94.843000000000004</v>
      </c>
      <c r="G218">
        <v>175.89400000000001</v>
      </c>
      <c r="H218">
        <v>2.2879999999999998</v>
      </c>
      <c r="I218">
        <v>2.101</v>
      </c>
    </row>
    <row r="219" spans="1:9" x14ac:dyDescent="0.2">
      <c r="A219">
        <v>1</v>
      </c>
      <c r="B219">
        <v>1</v>
      </c>
      <c r="C219">
        <v>218</v>
      </c>
      <c r="E219">
        <v>81.141000000000005</v>
      </c>
      <c r="F219">
        <v>95.01</v>
      </c>
      <c r="G219">
        <v>176.13900000000001</v>
      </c>
      <c r="H219">
        <v>2.2879999999999998</v>
      </c>
      <c r="I219">
        <v>2.056</v>
      </c>
    </row>
    <row r="220" spans="1:9" x14ac:dyDescent="0.2">
      <c r="A220">
        <v>1</v>
      </c>
      <c r="B220">
        <v>1</v>
      </c>
      <c r="C220">
        <v>219</v>
      </c>
      <c r="E220">
        <v>81.528999999999996</v>
      </c>
      <c r="F220">
        <v>94.625</v>
      </c>
      <c r="G220">
        <v>176.19</v>
      </c>
      <c r="H220">
        <v>2.2799999999999998</v>
      </c>
      <c r="I220">
        <v>2.5409999999999999</v>
      </c>
    </row>
    <row r="221" spans="1:9" x14ac:dyDescent="0.2">
      <c r="A221">
        <v>1</v>
      </c>
      <c r="B221">
        <v>1</v>
      </c>
      <c r="C221">
        <v>220</v>
      </c>
      <c r="E221">
        <v>81.376999999999995</v>
      </c>
      <c r="F221">
        <v>94.986999999999995</v>
      </c>
      <c r="G221">
        <v>176.292</v>
      </c>
      <c r="H221">
        <v>2.278</v>
      </c>
      <c r="I221">
        <v>2.15</v>
      </c>
    </row>
    <row r="222" spans="1:9" x14ac:dyDescent="0.2">
      <c r="A222">
        <v>1</v>
      </c>
      <c r="B222">
        <v>1</v>
      </c>
      <c r="C222">
        <v>221</v>
      </c>
      <c r="E222">
        <v>81.131</v>
      </c>
      <c r="F222">
        <v>94.23</v>
      </c>
      <c r="G222">
        <v>175.374</v>
      </c>
      <c r="H222">
        <v>2.036</v>
      </c>
      <c r="I222">
        <v>2.4980000000000002</v>
      </c>
    </row>
    <row r="223" spans="1:9" x14ac:dyDescent="0.2">
      <c r="A223">
        <v>1</v>
      </c>
      <c r="B223">
        <v>1</v>
      </c>
      <c r="C223">
        <v>222</v>
      </c>
      <c r="E223">
        <v>81.367000000000004</v>
      </c>
      <c r="F223">
        <v>94.634</v>
      </c>
      <c r="G223">
        <v>176.095</v>
      </c>
      <c r="H223">
        <v>2.0720000000000001</v>
      </c>
      <c r="I223">
        <v>1.83</v>
      </c>
    </row>
    <row r="224" spans="1:9" x14ac:dyDescent="0.2">
      <c r="A224">
        <v>1</v>
      </c>
      <c r="B224">
        <v>1</v>
      </c>
      <c r="C224">
        <v>223</v>
      </c>
      <c r="E224">
        <v>81.647999999999996</v>
      </c>
      <c r="F224">
        <v>94.552999999999997</v>
      </c>
      <c r="G224">
        <v>176.291</v>
      </c>
      <c r="H224">
        <v>2.0579999999999998</v>
      </c>
      <c r="I224">
        <v>2.1890000000000001</v>
      </c>
    </row>
    <row r="225" spans="1:9" x14ac:dyDescent="0.2">
      <c r="A225">
        <v>1</v>
      </c>
      <c r="B225">
        <v>1</v>
      </c>
      <c r="C225">
        <v>224</v>
      </c>
      <c r="E225">
        <v>81.153999999999996</v>
      </c>
      <c r="F225">
        <v>94.962000000000003</v>
      </c>
      <c r="G225">
        <v>176.17599999999999</v>
      </c>
      <c r="H225">
        <v>1.9790000000000001</v>
      </c>
      <c r="I225">
        <v>1.6639999999999999</v>
      </c>
    </row>
    <row r="226" spans="1:9" x14ac:dyDescent="0.2">
      <c r="A226">
        <v>1</v>
      </c>
      <c r="B226">
        <v>1</v>
      </c>
      <c r="C226">
        <v>225</v>
      </c>
      <c r="E226">
        <v>81.352999999999994</v>
      </c>
      <c r="F226">
        <v>95.144000000000005</v>
      </c>
      <c r="G226">
        <v>176.49100000000001</v>
      </c>
      <c r="H226">
        <v>1.9</v>
      </c>
      <c r="I226">
        <v>1.6930000000000001</v>
      </c>
    </row>
    <row r="227" spans="1:9" x14ac:dyDescent="0.2">
      <c r="A227">
        <v>1</v>
      </c>
      <c r="B227">
        <v>1</v>
      </c>
      <c r="C227">
        <v>226</v>
      </c>
      <c r="E227">
        <v>80.825999999999993</v>
      </c>
      <c r="F227">
        <v>95.197999999999993</v>
      </c>
      <c r="G227">
        <v>176.00200000000001</v>
      </c>
      <c r="H227">
        <v>1.8819999999999999</v>
      </c>
      <c r="I227">
        <v>1.8120000000000001</v>
      </c>
    </row>
    <row r="228" spans="1:9" x14ac:dyDescent="0.2">
      <c r="A228">
        <v>1</v>
      </c>
      <c r="B228">
        <v>1</v>
      </c>
      <c r="C228">
        <v>227</v>
      </c>
      <c r="E228">
        <v>81.097999999999999</v>
      </c>
      <c r="F228">
        <v>94.959000000000003</v>
      </c>
      <c r="G228">
        <v>176.114</v>
      </c>
      <c r="H228">
        <v>2.028</v>
      </c>
      <c r="I228">
        <v>1.9970000000000001</v>
      </c>
    </row>
    <row r="229" spans="1:9" x14ac:dyDescent="0.2">
      <c r="A229">
        <v>1</v>
      </c>
      <c r="B229">
        <v>1</v>
      </c>
      <c r="C229">
        <v>228</v>
      </c>
      <c r="E229">
        <v>81.373999999999995</v>
      </c>
      <c r="F229">
        <v>94.643000000000001</v>
      </c>
      <c r="G229">
        <v>175.999</v>
      </c>
      <c r="H229">
        <v>1.708</v>
      </c>
      <c r="I229">
        <v>1.829</v>
      </c>
    </row>
    <row r="230" spans="1:9" x14ac:dyDescent="0.2">
      <c r="A230">
        <v>1</v>
      </c>
      <c r="B230">
        <v>1</v>
      </c>
      <c r="C230">
        <v>229</v>
      </c>
      <c r="E230">
        <v>81.521000000000001</v>
      </c>
      <c r="F230">
        <v>94.703999999999994</v>
      </c>
      <c r="G230">
        <v>176.22399999999999</v>
      </c>
      <c r="H230">
        <v>2.4750000000000001</v>
      </c>
      <c r="I230">
        <v>1.851</v>
      </c>
    </row>
    <row r="231" spans="1:9" x14ac:dyDescent="0.2">
      <c r="A231">
        <v>1</v>
      </c>
      <c r="B231">
        <v>1</v>
      </c>
      <c r="C231">
        <v>230</v>
      </c>
      <c r="E231">
        <v>81.239000000000004</v>
      </c>
      <c r="F231">
        <v>94.971000000000004</v>
      </c>
      <c r="G231">
        <v>176.209</v>
      </c>
      <c r="H231">
        <v>1.9350000000000001</v>
      </c>
      <c r="I231">
        <v>1.8480000000000001</v>
      </c>
    </row>
    <row r="232" spans="1:9" x14ac:dyDescent="0.2">
      <c r="A232">
        <v>1</v>
      </c>
      <c r="B232">
        <v>1</v>
      </c>
      <c r="C232">
        <v>231</v>
      </c>
      <c r="E232">
        <v>81.465000000000003</v>
      </c>
      <c r="F232">
        <v>94.528999999999996</v>
      </c>
      <c r="G232">
        <v>175.98400000000001</v>
      </c>
      <c r="H232">
        <v>2.3519999999999999</v>
      </c>
      <c r="I232">
        <v>2.0310000000000001</v>
      </c>
    </row>
    <row r="233" spans="1:9" x14ac:dyDescent="0.2">
      <c r="A233">
        <v>1</v>
      </c>
      <c r="B233">
        <v>1</v>
      </c>
      <c r="C233">
        <v>232</v>
      </c>
      <c r="E233">
        <v>81.569000000000003</v>
      </c>
      <c r="F233">
        <v>94.254000000000005</v>
      </c>
      <c r="G233">
        <v>175.839</v>
      </c>
      <c r="H233">
        <v>1.6419999999999999</v>
      </c>
      <c r="I233">
        <v>1.651</v>
      </c>
    </row>
    <row r="234" spans="1:9" x14ac:dyDescent="0.2">
      <c r="A234">
        <v>1</v>
      </c>
      <c r="B234">
        <v>1</v>
      </c>
      <c r="C234">
        <v>233</v>
      </c>
      <c r="E234">
        <v>82.043999999999997</v>
      </c>
      <c r="F234">
        <v>94.224000000000004</v>
      </c>
      <c r="G234">
        <v>176.285</v>
      </c>
      <c r="H234">
        <v>2.0379999999999998</v>
      </c>
      <c r="I234">
        <v>1.887</v>
      </c>
    </row>
    <row r="235" spans="1:9" x14ac:dyDescent="0.2">
      <c r="A235">
        <v>1</v>
      </c>
      <c r="B235">
        <v>1</v>
      </c>
      <c r="C235">
        <v>234</v>
      </c>
      <c r="E235">
        <v>81.301000000000002</v>
      </c>
      <c r="F235">
        <v>94.646000000000001</v>
      </c>
      <c r="G235">
        <v>175.905</v>
      </c>
      <c r="H235">
        <v>1.7470000000000001</v>
      </c>
      <c r="I235">
        <v>1.5620000000000001</v>
      </c>
    </row>
    <row r="236" spans="1:9" x14ac:dyDescent="0.2">
      <c r="A236">
        <v>1</v>
      </c>
      <c r="B236">
        <v>1</v>
      </c>
      <c r="C236">
        <v>235</v>
      </c>
      <c r="E236">
        <v>81.146000000000001</v>
      </c>
      <c r="F236">
        <v>94.962999999999994</v>
      </c>
      <c r="G236">
        <v>176.047</v>
      </c>
      <c r="H236">
        <v>1.829</v>
      </c>
      <c r="I236">
        <v>2.3010000000000002</v>
      </c>
    </row>
    <row r="237" spans="1:9" x14ac:dyDescent="0.2">
      <c r="A237">
        <v>1</v>
      </c>
      <c r="B237">
        <v>1</v>
      </c>
      <c r="C237">
        <v>236</v>
      </c>
      <c r="E237">
        <v>81.278000000000006</v>
      </c>
      <c r="F237">
        <v>94.600999999999999</v>
      </c>
      <c r="G237">
        <v>175.93700000000001</v>
      </c>
      <c r="H237">
        <v>2.0009999999999999</v>
      </c>
      <c r="I237">
        <v>1.788</v>
      </c>
    </row>
    <row r="238" spans="1:9" x14ac:dyDescent="0.2">
      <c r="A238">
        <v>1</v>
      </c>
      <c r="B238">
        <v>1</v>
      </c>
      <c r="C238">
        <v>237</v>
      </c>
      <c r="E238">
        <v>81.759</v>
      </c>
      <c r="F238">
        <v>94.245999999999995</v>
      </c>
      <c r="G238">
        <v>175.95599999999999</v>
      </c>
      <c r="H238">
        <v>1.768</v>
      </c>
      <c r="I238">
        <v>2.0449999999999999</v>
      </c>
    </row>
    <row r="239" spans="1:9" x14ac:dyDescent="0.2">
      <c r="A239">
        <v>1</v>
      </c>
      <c r="B239">
        <v>1</v>
      </c>
      <c r="C239">
        <v>238</v>
      </c>
      <c r="E239">
        <v>81.179000000000002</v>
      </c>
      <c r="F239">
        <v>94.787000000000006</v>
      </c>
      <c r="G239">
        <v>175.93799999999999</v>
      </c>
      <c r="H239">
        <v>1.871</v>
      </c>
      <c r="I239">
        <v>1.841</v>
      </c>
    </row>
    <row r="240" spans="1:9" x14ac:dyDescent="0.2">
      <c r="A240">
        <v>1</v>
      </c>
      <c r="B240">
        <v>1</v>
      </c>
      <c r="C240">
        <v>239</v>
      </c>
      <c r="E240">
        <v>81.004000000000005</v>
      </c>
      <c r="F240">
        <v>94.91</v>
      </c>
      <c r="G240">
        <v>175.92</v>
      </c>
      <c r="H240">
        <v>1.8560000000000001</v>
      </c>
      <c r="I240">
        <v>2.2509999999999999</v>
      </c>
    </row>
    <row r="241" spans="1:9" x14ac:dyDescent="0.2">
      <c r="A241">
        <v>1</v>
      </c>
      <c r="B241">
        <v>1</v>
      </c>
      <c r="C241">
        <v>240</v>
      </c>
      <c r="E241">
        <v>80.873999999999995</v>
      </c>
      <c r="F241">
        <v>94.774000000000001</v>
      </c>
      <c r="G241">
        <v>175.65299999999999</v>
      </c>
      <c r="H241">
        <v>1.6020000000000001</v>
      </c>
      <c r="I241">
        <v>2.0150000000000001</v>
      </c>
    </row>
    <row r="242" spans="1:9" x14ac:dyDescent="0.2">
      <c r="A242">
        <v>1</v>
      </c>
      <c r="B242">
        <v>1</v>
      </c>
      <c r="C242">
        <v>241</v>
      </c>
      <c r="E242">
        <v>81.679000000000002</v>
      </c>
      <c r="F242">
        <v>94.382000000000005</v>
      </c>
      <c r="G242">
        <v>176.09299999999999</v>
      </c>
      <c r="H242">
        <v>2.2429999999999999</v>
      </c>
      <c r="I242">
        <v>2.1139999999999999</v>
      </c>
    </row>
    <row r="243" spans="1:9" x14ac:dyDescent="0.2">
      <c r="A243">
        <v>1</v>
      </c>
      <c r="B243">
        <v>1</v>
      </c>
      <c r="C243">
        <v>242</v>
      </c>
      <c r="E243">
        <v>81.453000000000003</v>
      </c>
      <c r="F243">
        <v>94.356999999999999</v>
      </c>
      <c r="G243">
        <v>175.846</v>
      </c>
      <c r="H243">
        <v>2.0030000000000001</v>
      </c>
      <c r="I243">
        <v>1.7909999999999999</v>
      </c>
    </row>
    <row r="244" spans="1:9" x14ac:dyDescent="0.2">
      <c r="A244">
        <v>1</v>
      </c>
      <c r="B244">
        <v>1</v>
      </c>
      <c r="C244">
        <v>243</v>
      </c>
      <c r="E244">
        <v>80.965999999999994</v>
      </c>
      <c r="F244">
        <v>94.597999999999999</v>
      </c>
      <c r="G244">
        <v>175.56100000000001</v>
      </c>
      <c r="H244">
        <v>2.113</v>
      </c>
      <c r="I244">
        <v>2.0129999999999999</v>
      </c>
    </row>
    <row r="245" spans="1:9" x14ac:dyDescent="0.2">
      <c r="A245">
        <v>1</v>
      </c>
      <c r="B245">
        <v>1</v>
      </c>
      <c r="C245">
        <v>244</v>
      </c>
      <c r="E245">
        <v>80.841999999999999</v>
      </c>
      <c r="F245">
        <v>95.108999999999995</v>
      </c>
      <c r="G245">
        <v>175.869</v>
      </c>
      <c r="H245">
        <v>2.1629999999999998</v>
      </c>
      <c r="I245">
        <v>2.093</v>
      </c>
    </row>
    <row r="246" spans="1:9" x14ac:dyDescent="0.2">
      <c r="A246">
        <v>1</v>
      </c>
      <c r="B246">
        <v>1</v>
      </c>
      <c r="C246">
        <v>245</v>
      </c>
      <c r="E246">
        <v>81.472999999999999</v>
      </c>
      <c r="F246">
        <v>94.393000000000001</v>
      </c>
      <c r="G246">
        <v>175.876</v>
      </c>
      <c r="H246">
        <v>1.9139999999999999</v>
      </c>
      <c r="I246">
        <v>2.282</v>
      </c>
    </row>
    <row r="247" spans="1:9" x14ac:dyDescent="0.2">
      <c r="A247">
        <v>1</v>
      </c>
      <c r="B247">
        <v>1</v>
      </c>
      <c r="C247">
        <v>246</v>
      </c>
      <c r="E247">
        <v>81.272999999999996</v>
      </c>
      <c r="F247">
        <v>94.558999999999997</v>
      </c>
      <c r="G247">
        <v>175.90799999999999</v>
      </c>
      <c r="H247">
        <v>1.8320000000000001</v>
      </c>
      <c r="I247">
        <v>1.8049999999999999</v>
      </c>
    </row>
    <row r="248" spans="1:9" x14ac:dyDescent="0.2">
      <c r="A248">
        <v>1</v>
      </c>
      <c r="B248">
        <v>1</v>
      </c>
      <c r="C248">
        <v>247</v>
      </c>
      <c r="E248">
        <v>81.23</v>
      </c>
      <c r="F248">
        <v>94.460999999999999</v>
      </c>
      <c r="G248">
        <v>175.74</v>
      </c>
      <c r="H248">
        <v>1.7130000000000001</v>
      </c>
      <c r="I248">
        <v>1.9630000000000001</v>
      </c>
    </row>
    <row r="249" spans="1:9" x14ac:dyDescent="0.2">
      <c r="A249">
        <v>1</v>
      </c>
      <c r="B249">
        <v>1</v>
      </c>
      <c r="C249">
        <v>248</v>
      </c>
      <c r="E249">
        <v>81.08</v>
      </c>
      <c r="F249">
        <v>94.899000000000001</v>
      </c>
      <c r="G249">
        <v>175.95099999999999</v>
      </c>
      <c r="H249">
        <v>1.702</v>
      </c>
      <c r="I249">
        <v>2.12</v>
      </c>
    </row>
    <row r="250" spans="1:9" x14ac:dyDescent="0.2">
      <c r="A250">
        <v>1</v>
      </c>
      <c r="B250">
        <v>1</v>
      </c>
      <c r="C250">
        <v>249</v>
      </c>
      <c r="E250">
        <v>81.341999999999999</v>
      </c>
      <c r="F250">
        <v>94.454999999999998</v>
      </c>
      <c r="G250">
        <v>175.809</v>
      </c>
      <c r="H250">
        <v>1.968</v>
      </c>
      <c r="I250">
        <v>2.0030000000000001</v>
      </c>
    </row>
    <row r="251" spans="1:9" x14ac:dyDescent="0.2">
      <c r="A251">
        <v>1</v>
      </c>
      <c r="B251">
        <v>1</v>
      </c>
      <c r="C251">
        <v>250</v>
      </c>
      <c r="E251">
        <v>81.489999999999995</v>
      </c>
      <c r="F251">
        <v>94.566000000000003</v>
      </c>
      <c r="G251">
        <v>176.05799999999999</v>
      </c>
      <c r="H251">
        <v>1.9990000000000001</v>
      </c>
      <c r="I251">
        <v>1.724</v>
      </c>
    </row>
    <row r="252" spans="1:9" x14ac:dyDescent="0.2">
      <c r="A252">
        <v>1</v>
      </c>
      <c r="B252">
        <v>1</v>
      </c>
      <c r="C252">
        <v>251</v>
      </c>
      <c r="E252">
        <v>81.311999999999998</v>
      </c>
      <c r="F252">
        <v>94.906000000000006</v>
      </c>
      <c r="G252">
        <v>176.221</v>
      </c>
      <c r="H252">
        <v>1.99</v>
      </c>
      <c r="I252">
        <v>1.9330000000000001</v>
      </c>
    </row>
    <row r="253" spans="1:9" x14ac:dyDescent="0.2">
      <c r="A253">
        <v>1</v>
      </c>
      <c r="B253">
        <v>1</v>
      </c>
      <c r="C253">
        <v>252</v>
      </c>
      <c r="E253">
        <v>80.911000000000001</v>
      </c>
      <c r="F253">
        <v>95.013999999999996</v>
      </c>
      <c r="G253">
        <v>175.96799999999999</v>
      </c>
      <c r="H253">
        <v>1.6739999999999999</v>
      </c>
      <c r="I253">
        <v>2.16</v>
      </c>
    </row>
    <row r="254" spans="1:9" x14ac:dyDescent="0.2">
      <c r="A254">
        <v>1</v>
      </c>
      <c r="B254">
        <v>1</v>
      </c>
      <c r="C254">
        <v>253</v>
      </c>
      <c r="E254">
        <v>81.39</v>
      </c>
      <c r="F254">
        <v>94.703999999999994</v>
      </c>
      <c r="G254">
        <v>176.12899999999999</v>
      </c>
      <c r="H254">
        <v>2.0270000000000001</v>
      </c>
      <c r="I254">
        <v>2.0270000000000001</v>
      </c>
    </row>
    <row r="255" spans="1:9" x14ac:dyDescent="0.2">
      <c r="A255">
        <v>1</v>
      </c>
      <c r="B255">
        <v>1</v>
      </c>
      <c r="C255">
        <v>254</v>
      </c>
      <c r="E255">
        <v>81.135999999999996</v>
      </c>
      <c r="F255">
        <v>94.942999999999998</v>
      </c>
      <c r="G255">
        <v>176.06200000000001</v>
      </c>
      <c r="H255">
        <v>1.8089999999999999</v>
      </c>
      <c r="I255">
        <v>1.825</v>
      </c>
    </row>
    <row r="256" spans="1:9" x14ac:dyDescent="0.2">
      <c r="A256">
        <v>1</v>
      </c>
      <c r="B256">
        <v>1</v>
      </c>
      <c r="C256">
        <v>255</v>
      </c>
      <c r="E256">
        <v>81.224000000000004</v>
      </c>
      <c r="F256">
        <v>94.867999999999995</v>
      </c>
      <c r="G256">
        <v>176.12</v>
      </c>
      <c r="H256">
        <v>2.0750000000000002</v>
      </c>
      <c r="I256">
        <v>1.7549999999999999</v>
      </c>
    </row>
    <row r="257" spans="1:9" x14ac:dyDescent="0.2">
      <c r="A257">
        <v>1</v>
      </c>
      <c r="B257">
        <v>1</v>
      </c>
      <c r="C257">
        <v>256</v>
      </c>
      <c r="E257">
        <v>81.228999999999999</v>
      </c>
      <c r="F257">
        <v>94.796000000000006</v>
      </c>
      <c r="G257">
        <v>176.05799999999999</v>
      </c>
      <c r="H257">
        <v>1.974</v>
      </c>
      <c r="I257">
        <v>1.6870000000000001</v>
      </c>
    </row>
    <row r="258" spans="1:9" x14ac:dyDescent="0.2">
      <c r="A258">
        <v>1</v>
      </c>
      <c r="B258">
        <v>1</v>
      </c>
      <c r="C258">
        <v>257</v>
      </c>
      <c r="E258">
        <v>80.736999999999995</v>
      </c>
      <c r="F258">
        <v>95.031000000000006</v>
      </c>
      <c r="G258">
        <v>175.79</v>
      </c>
      <c r="H258">
        <v>1.917</v>
      </c>
      <c r="I258">
        <v>1.6459999999999999</v>
      </c>
    </row>
    <row r="259" spans="1:9" x14ac:dyDescent="0.2">
      <c r="A259">
        <v>1</v>
      </c>
      <c r="B259">
        <v>1</v>
      </c>
      <c r="C259">
        <v>258</v>
      </c>
      <c r="E259">
        <v>81.492999999999995</v>
      </c>
      <c r="F259">
        <v>94.537000000000006</v>
      </c>
      <c r="G259">
        <v>176.036</v>
      </c>
      <c r="H259">
        <v>1.9159999999999999</v>
      </c>
      <c r="I259">
        <v>1.613</v>
      </c>
    </row>
    <row r="260" spans="1:9" x14ac:dyDescent="0.2">
      <c r="A260">
        <v>1</v>
      </c>
      <c r="B260">
        <v>1</v>
      </c>
      <c r="C260">
        <v>259</v>
      </c>
      <c r="E260">
        <v>81.119</v>
      </c>
      <c r="F260">
        <v>94.591999999999999</v>
      </c>
      <c r="G260">
        <v>175.63499999999999</v>
      </c>
      <c r="H260">
        <v>2.2130000000000001</v>
      </c>
      <c r="I260">
        <v>1.639</v>
      </c>
    </row>
    <row r="261" spans="1:9" x14ac:dyDescent="0.2">
      <c r="A261">
        <v>1</v>
      </c>
      <c r="B261">
        <v>1</v>
      </c>
      <c r="C261">
        <v>260</v>
      </c>
      <c r="E261">
        <v>81.004000000000005</v>
      </c>
      <c r="F261">
        <v>95.168000000000006</v>
      </c>
      <c r="G261">
        <v>176.226</v>
      </c>
      <c r="H261">
        <v>1.554</v>
      </c>
      <c r="I261">
        <v>1.6559999999999999</v>
      </c>
    </row>
    <row r="262" spans="1:9" x14ac:dyDescent="0.2">
      <c r="A262">
        <v>1</v>
      </c>
      <c r="B262">
        <v>1</v>
      </c>
      <c r="C262">
        <v>261</v>
      </c>
      <c r="E262">
        <v>81.319000000000003</v>
      </c>
      <c r="F262">
        <v>94.671999999999997</v>
      </c>
      <c r="G262">
        <v>176.047</v>
      </c>
      <c r="H262">
        <v>2.1749999999999998</v>
      </c>
      <c r="I262">
        <v>1.8</v>
      </c>
    </row>
    <row r="263" spans="1:9" x14ac:dyDescent="0.2">
      <c r="A263">
        <v>1</v>
      </c>
      <c r="B263">
        <v>1</v>
      </c>
      <c r="C263">
        <v>262</v>
      </c>
      <c r="E263">
        <v>81.040000000000006</v>
      </c>
      <c r="F263">
        <v>94.968999999999994</v>
      </c>
      <c r="G263">
        <v>176.03399999999999</v>
      </c>
      <c r="H263">
        <v>2.1070000000000002</v>
      </c>
      <c r="I263">
        <v>1.95</v>
      </c>
    </row>
    <row r="264" spans="1:9" x14ac:dyDescent="0.2">
      <c r="A264">
        <v>1</v>
      </c>
      <c r="B264">
        <v>1</v>
      </c>
      <c r="C264">
        <v>263</v>
      </c>
      <c r="E264">
        <v>80.929000000000002</v>
      </c>
      <c r="F264">
        <v>95.05</v>
      </c>
      <c r="G264">
        <v>175.95099999999999</v>
      </c>
      <c r="H264">
        <v>1.89</v>
      </c>
      <c r="I264">
        <v>1.762</v>
      </c>
    </row>
    <row r="265" spans="1:9" x14ac:dyDescent="0.2">
      <c r="A265">
        <v>1</v>
      </c>
      <c r="B265">
        <v>1</v>
      </c>
      <c r="C265">
        <v>264</v>
      </c>
      <c r="E265">
        <v>81.123000000000005</v>
      </c>
      <c r="F265">
        <v>94.98</v>
      </c>
      <c r="G265">
        <v>176.11199999999999</v>
      </c>
      <c r="H265">
        <v>1.673</v>
      </c>
      <c r="I265">
        <v>2.149</v>
      </c>
    </row>
    <row r="266" spans="1:9" x14ac:dyDescent="0.2">
      <c r="A266">
        <v>1</v>
      </c>
      <c r="B266">
        <v>1</v>
      </c>
      <c r="C266">
        <v>265</v>
      </c>
      <c r="E266">
        <v>80.938000000000002</v>
      </c>
      <c r="F266">
        <v>95.366</v>
      </c>
      <c r="G266">
        <v>176.316</v>
      </c>
      <c r="H266">
        <v>2.6579999999999999</v>
      </c>
      <c r="I266">
        <v>2.0070000000000001</v>
      </c>
    </row>
    <row r="267" spans="1:9" x14ac:dyDescent="0.2">
      <c r="A267">
        <v>1</v>
      </c>
      <c r="B267">
        <v>1</v>
      </c>
      <c r="C267">
        <v>266</v>
      </c>
      <c r="E267">
        <v>81.224999999999994</v>
      </c>
      <c r="F267">
        <v>94.510999999999996</v>
      </c>
      <c r="G267">
        <v>175.773</v>
      </c>
      <c r="H267">
        <v>2.262</v>
      </c>
      <c r="I267">
        <v>2.0830000000000002</v>
      </c>
    </row>
    <row r="268" spans="1:9" x14ac:dyDescent="0.2">
      <c r="A268">
        <v>1</v>
      </c>
      <c r="B268">
        <v>1</v>
      </c>
      <c r="C268">
        <v>267</v>
      </c>
      <c r="E268">
        <v>81.146000000000001</v>
      </c>
      <c r="F268">
        <v>94.911000000000001</v>
      </c>
      <c r="G268">
        <v>176.04499999999999</v>
      </c>
      <c r="H268">
        <v>2.306</v>
      </c>
      <c r="I268">
        <v>1.6930000000000001</v>
      </c>
    </row>
    <row r="269" spans="1:9" x14ac:dyDescent="0.2">
      <c r="A269">
        <v>1</v>
      </c>
      <c r="B269">
        <v>1</v>
      </c>
      <c r="C269">
        <v>268</v>
      </c>
      <c r="E269">
        <v>80.778000000000006</v>
      </c>
      <c r="F269">
        <v>95.182000000000002</v>
      </c>
      <c r="G269">
        <v>176.00700000000001</v>
      </c>
      <c r="H269">
        <v>2.3540000000000001</v>
      </c>
      <c r="I269">
        <v>2.0289999999999999</v>
      </c>
    </row>
    <row r="270" spans="1:9" x14ac:dyDescent="0.2">
      <c r="A270">
        <v>1</v>
      </c>
      <c r="B270">
        <v>1</v>
      </c>
      <c r="C270">
        <v>269</v>
      </c>
      <c r="E270">
        <v>81.134</v>
      </c>
      <c r="F270">
        <v>94.664000000000001</v>
      </c>
      <c r="G270">
        <v>175.82400000000001</v>
      </c>
      <c r="H270">
        <v>1.988</v>
      </c>
      <c r="I270">
        <v>1.827</v>
      </c>
    </row>
    <row r="271" spans="1:9" x14ac:dyDescent="0.2">
      <c r="A271">
        <v>1</v>
      </c>
      <c r="B271">
        <v>1</v>
      </c>
      <c r="C271">
        <v>270</v>
      </c>
      <c r="E271">
        <v>81.033000000000001</v>
      </c>
      <c r="F271">
        <v>94.790999999999997</v>
      </c>
      <c r="G271">
        <v>175.89699999999999</v>
      </c>
      <c r="H271">
        <v>1.7230000000000001</v>
      </c>
      <c r="I271">
        <v>1.954</v>
      </c>
    </row>
    <row r="272" spans="1:9" x14ac:dyDescent="0.2">
      <c r="A272">
        <v>1</v>
      </c>
      <c r="B272">
        <v>1</v>
      </c>
      <c r="C272">
        <v>271</v>
      </c>
      <c r="E272">
        <v>80.936000000000007</v>
      </c>
      <c r="F272">
        <v>94.784000000000006</v>
      </c>
      <c r="G272">
        <v>175.703</v>
      </c>
      <c r="H272">
        <v>1.7829999999999999</v>
      </c>
      <c r="I272">
        <v>2.06</v>
      </c>
    </row>
    <row r="273" spans="1:9" x14ac:dyDescent="0.2">
      <c r="A273">
        <v>1</v>
      </c>
      <c r="B273">
        <v>1</v>
      </c>
      <c r="C273">
        <v>272</v>
      </c>
      <c r="E273">
        <v>81.272999999999996</v>
      </c>
      <c r="F273">
        <v>94.703999999999994</v>
      </c>
      <c r="G273">
        <v>176.024</v>
      </c>
      <c r="H273">
        <v>2.2080000000000002</v>
      </c>
      <c r="I273">
        <v>1.7649999999999999</v>
      </c>
    </row>
    <row r="274" spans="1:9" x14ac:dyDescent="0.2">
      <c r="A274">
        <v>1</v>
      </c>
      <c r="B274">
        <v>1</v>
      </c>
      <c r="C274">
        <v>273</v>
      </c>
      <c r="E274">
        <v>81.224999999999994</v>
      </c>
      <c r="F274">
        <v>94.554000000000002</v>
      </c>
      <c r="G274">
        <v>175.82300000000001</v>
      </c>
      <c r="H274">
        <v>1.831</v>
      </c>
      <c r="I274">
        <v>1.5549999999999999</v>
      </c>
    </row>
    <row r="275" spans="1:9" x14ac:dyDescent="0.2">
      <c r="A275">
        <v>1</v>
      </c>
      <c r="B275">
        <v>1</v>
      </c>
      <c r="C275">
        <v>274</v>
      </c>
      <c r="E275">
        <v>81.906999999999996</v>
      </c>
      <c r="F275">
        <v>94.497</v>
      </c>
      <c r="G275">
        <v>176.43199999999999</v>
      </c>
      <c r="H275">
        <v>1.86</v>
      </c>
      <c r="I275">
        <v>1.665</v>
      </c>
    </row>
    <row r="276" spans="1:9" x14ac:dyDescent="0.2">
      <c r="A276">
        <v>1</v>
      </c>
      <c r="B276">
        <v>1</v>
      </c>
      <c r="C276">
        <v>275</v>
      </c>
      <c r="E276">
        <v>81.305999999999997</v>
      </c>
      <c r="F276">
        <v>94.465999999999994</v>
      </c>
      <c r="G276">
        <v>175.88200000000001</v>
      </c>
      <c r="H276">
        <v>2.0739999999999998</v>
      </c>
      <c r="I276">
        <v>1.8520000000000001</v>
      </c>
    </row>
    <row r="277" spans="1:9" x14ac:dyDescent="0.2">
      <c r="A277">
        <v>1</v>
      </c>
      <c r="B277">
        <v>1</v>
      </c>
      <c r="C277">
        <v>276</v>
      </c>
      <c r="E277">
        <v>81.230999999999995</v>
      </c>
      <c r="F277">
        <v>95.260999999999996</v>
      </c>
      <c r="G277">
        <v>176.49299999999999</v>
      </c>
      <c r="H277">
        <v>1.752</v>
      </c>
      <c r="I277">
        <v>1.544</v>
      </c>
    </row>
    <row r="278" spans="1:9" x14ac:dyDescent="0.2">
      <c r="A278">
        <v>1</v>
      </c>
      <c r="B278">
        <v>1</v>
      </c>
      <c r="C278">
        <v>277</v>
      </c>
      <c r="E278">
        <v>80.808999999999997</v>
      </c>
      <c r="F278">
        <v>95.078000000000003</v>
      </c>
      <c r="G278">
        <v>175.911</v>
      </c>
      <c r="H278">
        <v>2.1360000000000001</v>
      </c>
      <c r="I278">
        <v>2.202</v>
      </c>
    </row>
    <row r="279" spans="1:9" x14ac:dyDescent="0.2">
      <c r="A279">
        <v>1</v>
      </c>
      <c r="B279">
        <v>1</v>
      </c>
      <c r="C279">
        <v>278</v>
      </c>
      <c r="E279">
        <v>80.912999999999997</v>
      </c>
      <c r="F279">
        <v>95.534000000000006</v>
      </c>
      <c r="G279">
        <v>176.471</v>
      </c>
      <c r="H279">
        <v>2.1339999999999999</v>
      </c>
      <c r="I279">
        <v>1.5660000000000001</v>
      </c>
    </row>
    <row r="280" spans="1:9" x14ac:dyDescent="0.2">
      <c r="A280">
        <v>1</v>
      </c>
      <c r="B280">
        <v>1</v>
      </c>
      <c r="C280">
        <v>279</v>
      </c>
      <c r="E280">
        <v>81.247</v>
      </c>
      <c r="F280">
        <v>94.953999999999994</v>
      </c>
      <c r="G280">
        <v>176.29900000000001</v>
      </c>
      <c r="H280">
        <v>2.169</v>
      </c>
      <c r="I280">
        <v>2.0129999999999999</v>
      </c>
    </row>
    <row r="281" spans="1:9" x14ac:dyDescent="0.2">
      <c r="A281">
        <v>1</v>
      </c>
      <c r="B281">
        <v>1</v>
      </c>
      <c r="C281">
        <v>280</v>
      </c>
      <c r="E281">
        <v>80.962000000000003</v>
      </c>
      <c r="F281">
        <v>95.253</v>
      </c>
      <c r="G281">
        <v>176.20500000000001</v>
      </c>
      <c r="H281">
        <v>2.149</v>
      </c>
      <c r="I281">
        <v>2.1040000000000001</v>
      </c>
    </row>
    <row r="282" spans="1:9" x14ac:dyDescent="0.2">
      <c r="A282">
        <v>1</v>
      </c>
      <c r="B282">
        <v>1</v>
      </c>
      <c r="C282">
        <v>281</v>
      </c>
      <c r="E282">
        <v>81.018000000000001</v>
      </c>
      <c r="F282">
        <v>94.978999999999999</v>
      </c>
      <c r="G282">
        <v>175.93</v>
      </c>
      <c r="H282">
        <v>1.6759999999999999</v>
      </c>
      <c r="I282">
        <v>2.069</v>
      </c>
    </row>
    <row r="283" spans="1:9" x14ac:dyDescent="0.2">
      <c r="A283">
        <v>1</v>
      </c>
      <c r="B283">
        <v>1</v>
      </c>
      <c r="C283">
        <v>282</v>
      </c>
      <c r="E283">
        <v>81.001000000000005</v>
      </c>
      <c r="F283">
        <v>95.03</v>
      </c>
      <c r="G283">
        <v>175.99700000000001</v>
      </c>
      <c r="H283">
        <v>1.9930000000000001</v>
      </c>
      <c r="I283">
        <v>1.786</v>
      </c>
    </row>
    <row r="284" spans="1:9" x14ac:dyDescent="0.2">
      <c r="A284">
        <v>1</v>
      </c>
      <c r="B284">
        <v>1</v>
      </c>
      <c r="C284">
        <v>283</v>
      </c>
      <c r="E284">
        <v>81.096999999999994</v>
      </c>
      <c r="F284">
        <v>95.144999999999996</v>
      </c>
      <c r="G284">
        <v>176.22399999999999</v>
      </c>
      <c r="H284">
        <v>1.5980000000000001</v>
      </c>
      <c r="I284">
        <v>1.9570000000000001</v>
      </c>
    </row>
    <row r="285" spans="1:9" x14ac:dyDescent="0.2">
      <c r="A285">
        <v>1</v>
      </c>
      <c r="B285">
        <v>1</v>
      </c>
      <c r="C285">
        <v>284</v>
      </c>
      <c r="E285">
        <v>80.822999999999993</v>
      </c>
      <c r="F285">
        <v>95.051000000000002</v>
      </c>
      <c r="G285">
        <v>175.84899999999999</v>
      </c>
      <c r="H285">
        <v>1.601</v>
      </c>
      <c r="I285">
        <v>1.97</v>
      </c>
    </row>
    <row r="286" spans="1:9" x14ac:dyDescent="0.2">
      <c r="A286">
        <v>1</v>
      </c>
      <c r="B286">
        <v>1</v>
      </c>
      <c r="C286">
        <v>285</v>
      </c>
      <c r="E286">
        <v>80.926000000000002</v>
      </c>
      <c r="F286">
        <v>95</v>
      </c>
      <c r="G286">
        <v>175.91499999999999</v>
      </c>
      <c r="H286">
        <v>1.9219999999999999</v>
      </c>
      <c r="I286">
        <v>2.2530000000000001</v>
      </c>
    </row>
    <row r="287" spans="1:9" x14ac:dyDescent="0.2">
      <c r="A287">
        <v>1</v>
      </c>
      <c r="B287">
        <v>1</v>
      </c>
      <c r="C287">
        <v>286</v>
      </c>
      <c r="E287">
        <v>80.864999999999995</v>
      </c>
      <c r="F287">
        <v>95.009</v>
      </c>
      <c r="G287">
        <v>175.92099999999999</v>
      </c>
      <c r="H287">
        <v>1.8839999999999999</v>
      </c>
      <c r="I287">
        <v>1.5649999999999999</v>
      </c>
    </row>
    <row r="288" spans="1:9" x14ac:dyDescent="0.2">
      <c r="A288">
        <v>1</v>
      </c>
      <c r="B288">
        <v>1</v>
      </c>
      <c r="C288">
        <v>287</v>
      </c>
      <c r="E288">
        <v>80.935000000000002</v>
      </c>
      <c r="F288">
        <v>94.971999999999994</v>
      </c>
      <c r="G288">
        <v>175.92500000000001</v>
      </c>
      <c r="H288">
        <v>1.4630000000000001</v>
      </c>
      <c r="I288">
        <v>1.82</v>
      </c>
    </row>
    <row r="289" spans="1:9" x14ac:dyDescent="0.2">
      <c r="A289">
        <v>1</v>
      </c>
      <c r="B289">
        <v>1</v>
      </c>
      <c r="C289">
        <v>288</v>
      </c>
      <c r="E289">
        <v>80.816000000000003</v>
      </c>
      <c r="F289">
        <v>95.087999999999994</v>
      </c>
      <c r="G289">
        <v>175.92400000000001</v>
      </c>
      <c r="H289">
        <v>2.157</v>
      </c>
      <c r="I289">
        <v>1.804</v>
      </c>
    </row>
    <row r="290" spans="1:9" x14ac:dyDescent="0.2">
      <c r="A290">
        <v>1</v>
      </c>
      <c r="B290">
        <v>1</v>
      </c>
      <c r="C290">
        <v>289</v>
      </c>
      <c r="E290">
        <v>81.096999999999994</v>
      </c>
      <c r="F290">
        <v>94.653000000000006</v>
      </c>
      <c r="G290">
        <v>175.71</v>
      </c>
      <c r="H290">
        <v>1.8380000000000001</v>
      </c>
      <c r="I290">
        <v>1.9650000000000001</v>
      </c>
    </row>
    <row r="291" spans="1:9" x14ac:dyDescent="0.2">
      <c r="A291">
        <v>1</v>
      </c>
      <c r="B291">
        <v>1</v>
      </c>
      <c r="C291">
        <v>290</v>
      </c>
      <c r="E291">
        <v>80.926000000000002</v>
      </c>
      <c r="F291">
        <v>94.936999999999998</v>
      </c>
      <c r="G291">
        <v>175.87700000000001</v>
      </c>
      <c r="H291">
        <v>2.2669999999999999</v>
      </c>
      <c r="I291">
        <v>1.77</v>
      </c>
    </row>
    <row r="292" spans="1:9" x14ac:dyDescent="0.2">
      <c r="A292">
        <v>1</v>
      </c>
      <c r="B292">
        <v>1</v>
      </c>
      <c r="C292">
        <v>291</v>
      </c>
      <c r="E292">
        <v>81.012</v>
      </c>
      <c r="F292">
        <v>94.923000000000002</v>
      </c>
      <c r="G292">
        <v>175.90199999999999</v>
      </c>
      <c r="H292">
        <v>1.766</v>
      </c>
      <c r="I292">
        <v>2.109</v>
      </c>
    </row>
    <row r="293" spans="1:9" x14ac:dyDescent="0.2">
      <c r="A293">
        <v>1</v>
      </c>
      <c r="B293">
        <v>1</v>
      </c>
      <c r="C293">
        <v>292</v>
      </c>
      <c r="E293">
        <v>81.201999999999998</v>
      </c>
      <c r="F293">
        <v>94.602999999999994</v>
      </c>
      <c r="G293">
        <v>175.88900000000001</v>
      </c>
      <c r="H293">
        <v>1.8839999999999999</v>
      </c>
      <c r="I293">
        <v>2.3439999999999999</v>
      </c>
    </row>
    <row r="294" spans="1:9" x14ac:dyDescent="0.2">
      <c r="A294">
        <v>1</v>
      </c>
      <c r="B294">
        <v>1</v>
      </c>
      <c r="C294">
        <v>293</v>
      </c>
      <c r="E294">
        <v>81.194999999999993</v>
      </c>
      <c r="F294">
        <v>94.698999999999998</v>
      </c>
      <c r="G294">
        <v>175.977</v>
      </c>
      <c r="H294">
        <v>2.3769999999999998</v>
      </c>
      <c r="I294">
        <v>1.954</v>
      </c>
    </row>
    <row r="295" spans="1:9" x14ac:dyDescent="0.2">
      <c r="A295">
        <v>1</v>
      </c>
      <c r="B295">
        <v>1</v>
      </c>
      <c r="C295">
        <v>294</v>
      </c>
      <c r="E295">
        <v>80.968999999999994</v>
      </c>
      <c r="F295">
        <v>95.070999999999998</v>
      </c>
      <c r="G295">
        <v>176.06399999999999</v>
      </c>
      <c r="H295">
        <v>1.591</v>
      </c>
      <c r="I295">
        <v>1.528</v>
      </c>
    </row>
    <row r="296" spans="1:9" x14ac:dyDescent="0.2">
      <c r="A296">
        <v>1</v>
      </c>
      <c r="B296">
        <v>1</v>
      </c>
      <c r="C296">
        <v>295</v>
      </c>
      <c r="E296">
        <v>81.17</v>
      </c>
      <c r="F296">
        <v>94.986000000000004</v>
      </c>
      <c r="G296">
        <v>176.09399999999999</v>
      </c>
      <c r="H296">
        <v>2.17</v>
      </c>
      <c r="I296">
        <v>2.2290000000000001</v>
      </c>
    </row>
    <row r="297" spans="1:9" x14ac:dyDescent="0.2">
      <c r="A297">
        <v>1</v>
      </c>
      <c r="B297">
        <v>1</v>
      </c>
      <c r="C297">
        <v>296</v>
      </c>
      <c r="E297">
        <v>80.947000000000003</v>
      </c>
      <c r="F297">
        <v>94.918000000000006</v>
      </c>
      <c r="G297">
        <v>175.815</v>
      </c>
      <c r="H297">
        <v>1.69</v>
      </c>
      <c r="I297">
        <v>1.869</v>
      </c>
    </row>
    <row r="298" spans="1:9" x14ac:dyDescent="0.2">
      <c r="A298">
        <v>1</v>
      </c>
      <c r="B298">
        <v>1</v>
      </c>
      <c r="C298">
        <v>297</v>
      </c>
      <c r="E298">
        <v>81.02</v>
      </c>
      <c r="F298">
        <v>94.872</v>
      </c>
      <c r="G298">
        <v>175.83699999999999</v>
      </c>
      <c r="H298">
        <v>1.4750000000000001</v>
      </c>
      <c r="I298">
        <v>1.4350000000000001</v>
      </c>
    </row>
    <row r="299" spans="1:9" x14ac:dyDescent="0.2">
      <c r="A299">
        <v>1</v>
      </c>
      <c r="B299">
        <v>1</v>
      </c>
      <c r="C299">
        <v>298</v>
      </c>
      <c r="E299">
        <v>81.328000000000003</v>
      </c>
      <c r="F299">
        <v>94.606999999999999</v>
      </c>
      <c r="G299">
        <v>175.94399999999999</v>
      </c>
      <c r="H299">
        <v>2.375</v>
      </c>
      <c r="I299">
        <v>1.9279999999999999</v>
      </c>
    </row>
    <row r="300" spans="1:9" x14ac:dyDescent="0.2">
      <c r="A300">
        <v>1</v>
      </c>
      <c r="B300">
        <v>1</v>
      </c>
      <c r="C300">
        <v>299</v>
      </c>
      <c r="E300">
        <v>80.894999999999996</v>
      </c>
      <c r="F300">
        <v>94.941000000000003</v>
      </c>
      <c r="G300">
        <v>175.846</v>
      </c>
      <c r="H300">
        <v>2.0680000000000001</v>
      </c>
      <c r="I300">
        <v>2.218</v>
      </c>
    </row>
    <row r="301" spans="1:9" x14ac:dyDescent="0.2">
      <c r="A301">
        <v>1</v>
      </c>
      <c r="B301">
        <v>1</v>
      </c>
      <c r="C301">
        <v>300</v>
      </c>
      <c r="E301">
        <v>81.069000000000003</v>
      </c>
      <c r="F301">
        <v>95.036000000000001</v>
      </c>
      <c r="G301">
        <v>176.131</v>
      </c>
      <c r="H301">
        <v>1.758</v>
      </c>
      <c r="I301">
        <v>2.4329999999999998</v>
      </c>
    </row>
  </sheetData>
  <phoneticPr fontId="1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3" name="Button 1">
              <controlPr defaultSize="0" print="0" autoFill="0" autoPict="0" macro="[0]!Anyangle">
                <anchor moveWithCells="1" sizeWithCells="1">
                  <from>
                    <xdr:col>10</xdr:col>
                    <xdr:colOff>228600</xdr:colOff>
                    <xdr:row>10</xdr:row>
                    <xdr:rowOff>12700</xdr:rowOff>
                  </from>
                  <to>
                    <xdr:col>12</xdr:col>
                    <xdr:colOff>114300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" name="Button 2">
              <controlPr defaultSize="0" print="0" autoFill="0" autoPict="0" macro="[0]!Save_customer">
                <anchor moveWithCells="1" sizeWithCells="1">
                  <from>
                    <xdr:col>13</xdr:col>
                    <xdr:colOff>228600</xdr:colOff>
                    <xdr:row>10</xdr:row>
                    <xdr:rowOff>19050</xdr:rowOff>
                  </from>
                  <to>
                    <xdr:col>15</xdr:col>
                    <xdr:colOff>114300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Option Button 4">
              <controlPr defaultSize="0" autoFill="0" autoLine="0" autoPict="0">
                <anchor moveWithCells="1">
                  <from>
                    <xdr:col>10</xdr:col>
                    <xdr:colOff>133350</xdr:colOff>
                    <xdr:row>5</xdr:row>
                    <xdr:rowOff>0</xdr:rowOff>
                  </from>
                  <to>
                    <xdr:col>12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" r:id="rId6" name="Option Button 5">
              <controlPr defaultSize="0" autoFill="0" autoLine="0" autoPict="0">
                <anchor moveWithCells="1">
                  <from>
                    <xdr:col>12</xdr:col>
                    <xdr:colOff>361950</xdr:colOff>
                    <xdr:row>5</xdr:row>
                    <xdr:rowOff>0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" r:id="rId7" name="Group Box 3">
              <controlPr defaultSize="0" autoFill="0" autoPict="0">
                <anchor moveWithCells="1" sizeWithCells="1">
                  <from>
                    <xdr:col>10</xdr:col>
                    <xdr:colOff>0</xdr:colOff>
                    <xdr:row>4</xdr:row>
                    <xdr:rowOff>31750</xdr:rowOff>
                  </from>
                  <to>
                    <xdr:col>14</xdr:col>
                    <xdr:colOff>660400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6"/>
  <sheetViews>
    <sheetView tabSelected="1" topLeftCell="A4" zoomScaleNormal="100" workbookViewId="0">
      <selection activeCell="I5" sqref="I5"/>
    </sheetView>
  </sheetViews>
  <sheetFormatPr defaultColWidth="9" defaultRowHeight="14" x14ac:dyDescent="0.2"/>
  <cols>
    <col min="1" max="1" width="9" style="2"/>
    <col min="2" max="2" width="11.7265625" style="2" bestFit="1" customWidth="1"/>
    <col min="3" max="3" width="14.08984375" style="2" bestFit="1" customWidth="1"/>
    <col min="4" max="4" width="20.08984375" style="2" bestFit="1" customWidth="1"/>
    <col min="5" max="5" width="13.6328125" style="2" bestFit="1" customWidth="1"/>
    <col min="6" max="6" width="13" style="2" bestFit="1" customWidth="1"/>
    <col min="7" max="7" width="20.26953125" style="2" bestFit="1" customWidth="1"/>
    <col min="8" max="16384" width="9" style="2"/>
  </cols>
  <sheetData>
    <row r="2" spans="1:11" x14ac:dyDescent="0.2">
      <c r="A2" s="36"/>
      <c r="H2" s="40" t="s">
        <v>12</v>
      </c>
    </row>
    <row r="3" spans="1:11" x14ac:dyDescent="0.2">
      <c r="A3" s="70" t="s">
        <v>8</v>
      </c>
      <c r="B3" s="72" t="s">
        <v>31</v>
      </c>
      <c r="C3" s="73"/>
      <c r="D3" s="74"/>
      <c r="E3" s="75" t="str">
        <f>Data!$F$2</f>
        <v>LER</v>
      </c>
      <c r="F3" s="76"/>
      <c r="G3" s="76"/>
      <c r="H3" s="76"/>
      <c r="I3" s="76"/>
      <c r="J3" s="76"/>
      <c r="K3" s="77"/>
    </row>
    <row r="4" spans="1:11" x14ac:dyDescent="0.2">
      <c r="A4" s="71"/>
      <c r="B4" s="39" t="s">
        <v>9</v>
      </c>
      <c r="C4" s="39" t="s">
        <v>10</v>
      </c>
      <c r="D4" s="39" t="s">
        <v>11</v>
      </c>
      <c r="E4" s="39" t="s">
        <v>9</v>
      </c>
      <c r="F4" s="39" t="s">
        <v>10</v>
      </c>
      <c r="G4" s="39" t="s">
        <v>11</v>
      </c>
      <c r="H4" s="33">
        <v>-90</v>
      </c>
      <c r="I4" s="33">
        <f>H4+45</f>
        <v>-45</v>
      </c>
      <c r="J4" s="33">
        <f>I4+45</f>
        <v>0</v>
      </c>
      <c r="K4" s="33">
        <f>J4+45</f>
        <v>45</v>
      </c>
    </row>
    <row r="5" spans="1:11" x14ac:dyDescent="0.2">
      <c r="A5" s="37"/>
      <c r="B5" s="81">
        <f>Data!$K$3</f>
        <v>7.8719999999989909E-2</v>
      </c>
      <c r="C5" s="82">
        <f>Data!$K$4</f>
        <v>0.37527999999997519</v>
      </c>
      <c r="D5" s="83">
        <f>Data!$K$5</f>
        <v>0.37527999999997519</v>
      </c>
      <c r="E5" s="84">
        <f>Data!$L$3</f>
        <v>-0.56504000000000021</v>
      </c>
      <c r="F5" s="84">
        <f>Data!$L$4</f>
        <v>0.69767999999999963</v>
      </c>
      <c r="G5" s="84">
        <f>Data!$L$5</f>
        <v>0.81068000000000051</v>
      </c>
      <c r="H5" s="38">
        <f>Data!I9</f>
        <v>2.0006600000000003</v>
      </c>
      <c r="I5" s="38">
        <f>Data!L9</f>
        <v>1.9400199999999999</v>
      </c>
      <c r="J5" s="38">
        <f>Data!O9</f>
        <v>1.4356200000000001</v>
      </c>
      <c r="K5" s="38">
        <f>Data!R9</f>
        <v>2.1332999999999998</v>
      </c>
    </row>
    <row r="6" spans="1:11" x14ac:dyDescent="0.2">
      <c r="H6" s="2" t="s">
        <v>46</v>
      </c>
      <c r="J6" s="2" t="s">
        <v>45</v>
      </c>
    </row>
  </sheetData>
  <mergeCells count="3">
    <mergeCell ref="A3:A4"/>
    <mergeCell ref="B3:D3"/>
    <mergeCell ref="E3:K3"/>
  </mergeCells>
  <phoneticPr fontId="3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N327"/>
  <sheetViews>
    <sheetView showGridLines="0" zoomScale="55" zoomScaleNormal="55" workbookViewId="0">
      <selection activeCell="R4" sqref="R4"/>
    </sheetView>
  </sheetViews>
  <sheetFormatPr defaultColWidth="9" defaultRowHeight="14" outlineLevelCol="1" x14ac:dyDescent="0.2"/>
  <cols>
    <col min="1" max="7" width="9" style="2"/>
    <col min="8" max="11" width="8.453125" style="2" customWidth="1"/>
    <col min="12" max="18" width="8.453125" style="2" customWidth="1" outlineLevel="1"/>
    <col min="19" max="20" width="8.453125" style="2" customWidth="1"/>
    <col min="21" max="23" width="8.453125" style="43" customWidth="1"/>
    <col min="24" max="24" width="8.453125" style="2" customWidth="1"/>
    <col min="25" max="30" width="8.453125" style="56" customWidth="1"/>
    <col min="31" max="37" width="8.453125" style="2" customWidth="1"/>
    <col min="38" max="40" width="9" style="43"/>
    <col min="41" max="16384" width="9" style="2"/>
  </cols>
  <sheetData>
    <row r="1" spans="1:40" x14ac:dyDescent="0.3">
      <c r="B1" s="79" t="s">
        <v>54</v>
      </c>
      <c r="C1" s="79"/>
      <c r="D1" s="79"/>
      <c r="E1" s="79"/>
      <c r="F1" s="79"/>
      <c r="V1" s="69" t="s">
        <v>59</v>
      </c>
      <c r="W1" s="67"/>
      <c r="X1" s="63" t="s">
        <v>55</v>
      </c>
      <c r="Y1" s="64" t="s">
        <v>56</v>
      </c>
    </row>
    <row r="2" spans="1:40" ht="14.5" x14ac:dyDescent="0.35">
      <c r="B2" s="3" t="s">
        <v>24</v>
      </c>
      <c r="C2" s="3" t="s">
        <v>25</v>
      </c>
      <c r="D2" s="3" t="s">
        <v>26</v>
      </c>
      <c r="E2" s="3" t="s">
        <v>13</v>
      </c>
      <c r="F2" s="3" t="s">
        <v>13</v>
      </c>
      <c r="J2" s="34" t="s">
        <v>35</v>
      </c>
      <c r="K2" s="11" t="str">
        <f>$B$2</f>
        <v>Space</v>
      </c>
      <c r="L2" s="12" t="str">
        <f>$F$2</f>
        <v>LER</v>
      </c>
      <c r="P2" s="34" t="s">
        <v>35</v>
      </c>
      <c r="Q2" s="12" t="str">
        <f>$F$2</f>
        <v>LER</v>
      </c>
      <c r="S2" s="34" t="s">
        <v>57</v>
      </c>
      <c r="T2" s="12" t="str">
        <f>$F$2</f>
        <v>LER</v>
      </c>
      <c r="V2" s="68" t="s">
        <v>60</v>
      </c>
      <c r="W2" s="68"/>
      <c r="X2" s="65"/>
      <c r="Y2" s="32">
        <f>K3</f>
        <v>7.8719999999989909E-2</v>
      </c>
    </row>
    <row r="3" spans="1:40" ht="14.5" x14ac:dyDescent="0.35">
      <c r="A3" s="1">
        <v>1</v>
      </c>
      <c r="B3" s="2">
        <v>80.801000000000002</v>
      </c>
      <c r="C3" s="2">
        <v>95.391999999999996</v>
      </c>
      <c r="D3" s="2">
        <v>176.136</v>
      </c>
      <c r="E3" s="2">
        <v>2.008</v>
      </c>
      <c r="F3" s="2">
        <v>1.585</v>
      </c>
      <c r="H3" s="80" t="s">
        <v>6</v>
      </c>
      <c r="I3" s="80"/>
      <c r="J3" s="80"/>
      <c r="K3" s="52">
        <f>I8-O8</f>
        <v>7.8719999999989909E-2</v>
      </c>
      <c r="L3" s="32">
        <f>O9-I9</f>
        <v>-0.56504000000000021</v>
      </c>
      <c r="N3" s="80" t="s">
        <v>28</v>
      </c>
      <c r="O3" s="80"/>
      <c r="P3" s="80"/>
      <c r="Q3" s="32">
        <f>MAX(I9:T9)</f>
        <v>2.2463000000000006</v>
      </c>
      <c r="S3" s="62" t="s">
        <v>55</v>
      </c>
      <c r="T3" s="52">
        <f>O9</f>
        <v>1.4356200000000001</v>
      </c>
      <c r="V3" s="68" t="s">
        <v>61</v>
      </c>
      <c r="W3" s="68"/>
      <c r="X3" s="65"/>
      <c r="Y3" s="32">
        <f>K5</f>
        <v>0.37527999999997519</v>
      </c>
    </row>
    <row r="4" spans="1:40" x14ac:dyDescent="0.3">
      <c r="A4" s="1">
        <v>2</v>
      </c>
      <c r="B4" s="2">
        <v>80.918000000000006</v>
      </c>
      <c r="C4" s="2">
        <v>95.47</v>
      </c>
      <c r="D4" s="2">
        <v>176.44499999999999</v>
      </c>
      <c r="E4" s="2">
        <v>1.147</v>
      </c>
      <c r="F4" s="2">
        <v>1.41</v>
      </c>
      <c r="H4" s="80" t="s">
        <v>7</v>
      </c>
      <c r="I4" s="80"/>
      <c r="J4" s="80"/>
      <c r="K4" s="35">
        <f>MAX(I8,L8,O8,R8)-MIN(I8,L8,O8,R8)</f>
        <v>0.37527999999997519</v>
      </c>
      <c r="L4" s="35">
        <f>MAX(I9,L9,O9,R9)-MIN(I9,L9,O9,R9)</f>
        <v>0.69767999999999963</v>
      </c>
      <c r="N4" s="80" t="s">
        <v>29</v>
      </c>
      <c r="O4" s="80"/>
      <c r="P4" s="80"/>
      <c r="Q4" s="35">
        <f>MIN(I9:T9)</f>
        <v>1.4356200000000001</v>
      </c>
      <c r="S4" s="62" t="s">
        <v>56</v>
      </c>
      <c r="T4" s="52">
        <f>I9</f>
        <v>2.0006600000000003</v>
      </c>
      <c r="V4" s="68" t="s">
        <v>58</v>
      </c>
      <c r="W4" s="68"/>
      <c r="X4" s="66">
        <f>T3</f>
        <v>1.4356200000000001</v>
      </c>
      <c r="Y4" s="32">
        <f>T4</f>
        <v>2.0006600000000003</v>
      </c>
      <c r="AA4" s="44"/>
      <c r="AB4" s="44"/>
      <c r="AC4" s="44"/>
      <c r="AD4" s="44"/>
      <c r="AE4" s="42"/>
      <c r="AF4" s="42"/>
      <c r="AG4" s="43"/>
    </row>
    <row r="5" spans="1:40" x14ac:dyDescent="0.25">
      <c r="A5" s="1">
        <v>3</v>
      </c>
      <c r="B5" s="2">
        <v>80.69</v>
      </c>
      <c r="C5" s="2">
        <v>95.421000000000006</v>
      </c>
      <c r="D5" s="2">
        <v>176.114</v>
      </c>
      <c r="E5" s="2">
        <v>1.504</v>
      </c>
      <c r="F5" s="2">
        <v>1.1779999999999999</v>
      </c>
      <c r="H5" s="80" t="s">
        <v>34</v>
      </c>
      <c r="I5" s="80"/>
      <c r="J5" s="80"/>
      <c r="K5" s="52">
        <f>MAX(I8:T8)-MIN(I8:T8)</f>
        <v>0.37527999999997519</v>
      </c>
      <c r="L5" s="35">
        <f>MAX(I9:T9)-MIN(I9:T9)</f>
        <v>0.81068000000000051</v>
      </c>
      <c r="N5" s="80" t="s">
        <v>30</v>
      </c>
      <c r="O5" s="80"/>
      <c r="P5" s="80"/>
      <c r="Q5" s="35">
        <f>AVERAGE(I9:T9)</f>
        <v>2.0121850000000001</v>
      </c>
      <c r="AA5" s="44"/>
      <c r="AB5" s="44"/>
      <c r="AC5" s="44"/>
      <c r="AD5" s="44"/>
      <c r="AE5" s="78"/>
      <c r="AF5" s="78"/>
      <c r="AG5" s="43"/>
    </row>
    <row r="6" spans="1:40" ht="15.5" x14ac:dyDescent="0.25">
      <c r="A6" s="1">
        <v>4</v>
      </c>
      <c r="B6" s="2">
        <v>80.653999999999996</v>
      </c>
      <c r="C6" s="2">
        <v>95.325999999999993</v>
      </c>
      <c r="D6" s="2">
        <v>176.03899999999999</v>
      </c>
      <c r="E6" s="2">
        <v>1.294</v>
      </c>
      <c r="F6" s="2">
        <v>1.3420000000000001</v>
      </c>
      <c r="AA6" s="41"/>
      <c r="AB6" s="44"/>
      <c r="AC6" s="44"/>
      <c r="AD6" s="55"/>
      <c r="AE6" s="55"/>
      <c r="AF6" s="55"/>
      <c r="AG6" s="43"/>
    </row>
    <row r="7" spans="1:40" x14ac:dyDescent="0.25">
      <c r="A7" s="1">
        <v>5</v>
      </c>
      <c r="B7" s="2">
        <v>80.902000000000001</v>
      </c>
      <c r="C7" s="2">
        <v>94.921000000000006</v>
      </c>
      <c r="D7" s="2">
        <v>175.881</v>
      </c>
      <c r="E7" s="2">
        <v>1.2949999999999999</v>
      </c>
      <c r="F7" s="2">
        <v>1.597</v>
      </c>
      <c r="H7" s="2" t="s">
        <v>5</v>
      </c>
      <c r="I7" s="33">
        <v>-90</v>
      </c>
      <c r="J7" s="33">
        <v>-75</v>
      </c>
      <c r="K7" s="33">
        <v>-60</v>
      </c>
      <c r="L7" s="33">
        <v>-45</v>
      </c>
      <c r="M7" s="33">
        <v>-30</v>
      </c>
      <c r="N7" s="33">
        <v>-15</v>
      </c>
      <c r="O7" s="33">
        <v>0</v>
      </c>
      <c r="P7" s="33">
        <v>15</v>
      </c>
      <c r="Q7" s="33">
        <v>30</v>
      </c>
      <c r="R7" s="33">
        <v>45</v>
      </c>
      <c r="S7" s="33">
        <v>60</v>
      </c>
      <c r="T7" s="33">
        <v>75</v>
      </c>
      <c r="U7" s="49"/>
      <c r="V7" s="49"/>
      <c r="W7" s="49"/>
      <c r="AA7" s="44"/>
      <c r="AB7" s="45"/>
      <c r="AC7" s="44"/>
      <c r="AD7" s="55"/>
      <c r="AE7" s="46"/>
      <c r="AF7" s="46"/>
      <c r="AG7" s="43"/>
    </row>
    <row r="8" spans="1:40" x14ac:dyDescent="0.25">
      <c r="A8" s="1">
        <v>6</v>
      </c>
      <c r="B8" s="2">
        <v>81.094999999999999</v>
      </c>
      <c r="C8" s="2">
        <v>95.254999999999995</v>
      </c>
      <c r="D8" s="2">
        <v>176.41</v>
      </c>
      <c r="E8" s="2">
        <v>0.90100000000000002</v>
      </c>
      <c r="F8" s="2">
        <v>1.486</v>
      </c>
      <c r="H8" s="31" t="str">
        <f>$B$2</f>
        <v>Space</v>
      </c>
      <c r="I8" s="32">
        <f t="shared" ref="I8:T8" si="0">I48</f>
        <v>81.003640000000004</v>
      </c>
      <c r="J8" s="32">
        <f t="shared" si="0"/>
        <v>81.280399999999986</v>
      </c>
      <c r="K8" s="32">
        <f t="shared" si="0"/>
        <v>81.261119999999991</v>
      </c>
      <c r="L8" s="32">
        <f t="shared" si="0"/>
        <v>81.30019999999999</v>
      </c>
      <c r="M8" s="32">
        <f t="shared" si="0"/>
        <v>81.154679999999985</v>
      </c>
      <c r="N8" s="32">
        <f t="shared" si="0"/>
        <v>81.018919999999994</v>
      </c>
      <c r="O8" s="32">
        <f t="shared" si="0"/>
        <v>80.924920000000014</v>
      </c>
      <c r="P8" s="32">
        <f t="shared" si="0"/>
        <v>81.125199999999992</v>
      </c>
      <c r="Q8" s="32">
        <f t="shared" si="0"/>
        <v>81.241640000000004</v>
      </c>
      <c r="R8" s="32">
        <f t="shared" si="0"/>
        <v>81.179359999999988</v>
      </c>
      <c r="S8" s="32">
        <f t="shared" si="0"/>
        <v>81.267680000000013</v>
      </c>
      <c r="T8" s="32">
        <f t="shared" si="0"/>
        <v>81.199119999999994</v>
      </c>
      <c r="U8" s="50"/>
      <c r="V8" s="50"/>
      <c r="W8" s="50"/>
      <c r="AA8" s="44"/>
      <c r="AB8" s="45"/>
      <c r="AC8" s="44"/>
      <c r="AD8" s="55"/>
      <c r="AE8" s="46"/>
      <c r="AF8" s="46"/>
      <c r="AG8" s="43"/>
    </row>
    <row r="9" spans="1:40" x14ac:dyDescent="0.25">
      <c r="A9" s="1">
        <v>7</v>
      </c>
      <c r="B9" s="2">
        <v>81.236000000000004</v>
      </c>
      <c r="C9" s="2">
        <v>95.248999999999995</v>
      </c>
      <c r="D9" s="2">
        <v>176.50899999999999</v>
      </c>
      <c r="E9" s="2">
        <v>1.1459999999999999</v>
      </c>
      <c r="F9" s="2">
        <v>1.75</v>
      </c>
      <c r="H9" s="30" t="str">
        <f>$F$2</f>
        <v>LER</v>
      </c>
      <c r="I9" s="52">
        <f>AVERAGE(W48,W80)</f>
        <v>2.0006600000000003</v>
      </c>
      <c r="J9" s="32">
        <f t="shared" ref="I9:T9" si="1">AVERAGE(X48,X80)</f>
        <v>2.0448</v>
      </c>
      <c r="K9" s="32">
        <f t="shared" si="1"/>
        <v>2.1486399999999994</v>
      </c>
      <c r="L9" s="32">
        <f t="shared" si="1"/>
        <v>1.9400199999999999</v>
      </c>
      <c r="M9" s="32">
        <f t="shared" si="1"/>
        <v>1.92266</v>
      </c>
      <c r="N9" s="32">
        <f t="shared" si="1"/>
        <v>1.9265600000000001</v>
      </c>
      <c r="O9" s="52">
        <f t="shared" si="1"/>
        <v>1.4356200000000001</v>
      </c>
      <c r="P9" s="32">
        <f t="shared" si="1"/>
        <v>1.9956</v>
      </c>
      <c r="Q9" s="32">
        <f t="shared" si="1"/>
        <v>2.1469800000000001</v>
      </c>
      <c r="R9" s="32">
        <f t="shared" si="1"/>
        <v>2.1332999999999998</v>
      </c>
      <c r="S9" s="32">
        <f t="shared" si="1"/>
        <v>2.2463000000000006</v>
      </c>
      <c r="T9" s="32">
        <f t="shared" si="1"/>
        <v>2.2050800000000002</v>
      </c>
      <c r="U9" s="50"/>
      <c r="V9" s="50"/>
      <c r="W9" s="50"/>
      <c r="AA9" s="44"/>
      <c r="AB9" s="45"/>
      <c r="AC9" s="44"/>
      <c r="AD9" s="55"/>
      <c r="AE9" s="46"/>
      <c r="AF9" s="46"/>
      <c r="AG9" s="43"/>
    </row>
    <row r="10" spans="1:40" x14ac:dyDescent="0.25">
      <c r="A10" s="1">
        <v>8</v>
      </c>
      <c r="B10" s="2">
        <v>80.936000000000007</v>
      </c>
      <c r="C10" s="2">
        <v>95.266000000000005</v>
      </c>
      <c r="D10" s="2">
        <v>176.21700000000001</v>
      </c>
      <c r="E10" s="2">
        <v>1.3160000000000001</v>
      </c>
      <c r="F10" s="2">
        <v>1.478</v>
      </c>
      <c r="I10" s="53" t="s">
        <v>32</v>
      </c>
      <c r="J10" s="53"/>
      <c r="K10" s="53"/>
      <c r="L10" s="53"/>
      <c r="M10" s="53"/>
      <c r="N10" s="53"/>
      <c r="O10" s="53" t="s">
        <v>33</v>
      </c>
      <c r="AA10" s="44"/>
      <c r="AB10" s="45"/>
      <c r="AC10" s="44"/>
      <c r="AD10" s="55"/>
      <c r="AE10" s="46"/>
      <c r="AF10" s="46"/>
      <c r="AG10" s="43"/>
    </row>
    <row r="11" spans="1:40" x14ac:dyDescent="0.25">
      <c r="A11" s="1">
        <v>9</v>
      </c>
      <c r="B11" s="2">
        <v>81.051000000000002</v>
      </c>
      <c r="C11" s="2">
        <v>95.248000000000005</v>
      </c>
      <c r="D11" s="2">
        <v>176.23599999999999</v>
      </c>
      <c r="E11" s="2">
        <v>1.548</v>
      </c>
      <c r="F11" s="2">
        <v>1.6519999999999999</v>
      </c>
    </row>
    <row r="12" spans="1:40" x14ac:dyDescent="0.25">
      <c r="A12" s="1">
        <v>10</v>
      </c>
      <c r="B12" s="2">
        <v>80.849000000000004</v>
      </c>
      <c r="C12" s="2">
        <v>95.436000000000007</v>
      </c>
      <c r="D12" s="2">
        <v>176.279</v>
      </c>
      <c r="E12" s="2">
        <v>1.2310000000000001</v>
      </c>
      <c r="F12" s="2">
        <v>1.196</v>
      </c>
      <c r="AL12" s="49"/>
      <c r="AM12" s="49"/>
      <c r="AN12" s="49"/>
    </row>
    <row r="13" spans="1:40" x14ac:dyDescent="0.25">
      <c r="A13" s="1">
        <v>11</v>
      </c>
      <c r="B13" s="2">
        <v>80.548000000000002</v>
      </c>
      <c r="C13" s="2">
        <v>95.427000000000007</v>
      </c>
      <c r="D13" s="2">
        <v>175.988</v>
      </c>
      <c r="E13" s="2">
        <v>1.298</v>
      </c>
      <c r="F13" s="2">
        <v>1.8340000000000001</v>
      </c>
      <c r="H13" s="2" t="s">
        <v>5</v>
      </c>
      <c r="I13" s="33">
        <v>-90</v>
      </c>
      <c r="J13" s="33">
        <v>-75</v>
      </c>
      <c r="K13" s="33">
        <v>-60</v>
      </c>
      <c r="L13" s="33">
        <v>-45</v>
      </c>
      <c r="M13" s="33">
        <v>-30</v>
      </c>
      <c r="N13" s="33">
        <v>-15</v>
      </c>
      <c r="O13" s="33">
        <v>0</v>
      </c>
      <c r="P13" s="33">
        <v>15</v>
      </c>
      <c r="Q13" s="33">
        <v>30</v>
      </c>
      <c r="R13" s="33">
        <v>45</v>
      </c>
      <c r="S13" s="33">
        <v>60</v>
      </c>
      <c r="T13" s="33">
        <v>75</v>
      </c>
      <c r="AL13" s="42"/>
      <c r="AM13" s="42"/>
      <c r="AN13" s="42"/>
    </row>
    <row r="14" spans="1:40" x14ac:dyDescent="0.25">
      <c r="A14" s="1">
        <v>12</v>
      </c>
      <c r="B14" s="2">
        <v>80.927999999999997</v>
      </c>
      <c r="C14" s="2">
        <v>95.096999999999994</v>
      </c>
      <c r="D14" s="2">
        <v>176.04400000000001</v>
      </c>
      <c r="E14" s="2">
        <v>1.4990000000000001</v>
      </c>
      <c r="F14" s="2">
        <v>1.127</v>
      </c>
      <c r="H14" s="31" t="str">
        <f>$B$2</f>
        <v>Space</v>
      </c>
      <c r="I14" s="32">
        <f>I48-AVERAGE($I$48:$T$48)</f>
        <v>-0.15943333333332532</v>
      </c>
      <c r="J14" s="32">
        <f t="shared" ref="J14:T14" si="2">J48-AVERAGE($I$48:$T$48)</f>
        <v>0.11732666666665637</v>
      </c>
      <c r="K14" s="32">
        <f t="shared" si="2"/>
        <v>9.8046666666661508E-2</v>
      </c>
      <c r="L14" s="32">
        <f t="shared" si="2"/>
        <v>0.13712666666665996</v>
      </c>
      <c r="M14" s="32">
        <f t="shared" si="2"/>
        <v>-8.393333333344799E-3</v>
      </c>
      <c r="N14" s="32">
        <f t="shared" si="2"/>
        <v>-0.14415333333333535</v>
      </c>
      <c r="O14" s="32">
        <f t="shared" si="2"/>
        <v>-0.23815333333331523</v>
      </c>
      <c r="P14" s="32">
        <f t="shared" si="2"/>
        <v>-3.78733333333372E-2</v>
      </c>
      <c r="Q14" s="32">
        <f t="shared" si="2"/>
        <v>7.8566666666674223E-2</v>
      </c>
      <c r="R14" s="32">
        <f t="shared" si="2"/>
        <v>1.6286666666658789E-2</v>
      </c>
      <c r="S14" s="32">
        <f t="shared" si="2"/>
        <v>0.10460666666668317</v>
      </c>
      <c r="T14" s="32">
        <f t="shared" si="2"/>
        <v>3.6046666666663896E-2</v>
      </c>
      <c r="AL14" s="42"/>
      <c r="AM14" s="42"/>
      <c r="AN14" s="42"/>
    </row>
    <row r="15" spans="1:40" x14ac:dyDescent="0.25">
      <c r="A15" s="1">
        <v>13</v>
      </c>
      <c r="B15" s="2">
        <v>80.697000000000003</v>
      </c>
      <c r="C15" s="2">
        <v>95.314999999999998</v>
      </c>
      <c r="D15" s="2">
        <v>175.935</v>
      </c>
      <c r="E15" s="2">
        <v>1.524</v>
      </c>
      <c r="F15" s="2">
        <v>1.0449999999999999</v>
      </c>
      <c r="H15" s="31" t="str">
        <f>$C$2</f>
        <v>Line</v>
      </c>
      <c r="I15" s="32">
        <f>I80-AVERAGE($I$80:$T$80)</f>
        <v>5.8680000000023824E-2</v>
      </c>
      <c r="J15" s="32">
        <f t="shared" ref="J15:T15" si="3">J80-AVERAGE($I$80:$T$80)</f>
        <v>-0.10907999999997742</v>
      </c>
      <c r="K15" s="32">
        <f t="shared" si="3"/>
        <v>-1.8679999999960728E-2</v>
      </c>
      <c r="L15" s="32">
        <f t="shared" si="3"/>
        <v>-0.1854799999999841</v>
      </c>
      <c r="M15" s="32">
        <f t="shared" si="3"/>
        <v>-6.5999999999775127E-3</v>
      </c>
      <c r="N15" s="32">
        <f t="shared" si="3"/>
        <v>0.15100000000001046</v>
      </c>
      <c r="O15" s="32">
        <f t="shared" si="3"/>
        <v>0.37964000000002329</v>
      </c>
      <c r="P15" s="32">
        <f t="shared" si="3"/>
        <v>2.552000000001442E-2</v>
      </c>
      <c r="Q15" s="32">
        <f t="shared" si="3"/>
        <v>-3.9039999999985753E-2</v>
      </c>
      <c r="R15" s="32">
        <f t="shared" si="3"/>
        <v>-2.5519999999971787E-2</v>
      </c>
      <c r="S15" s="32">
        <f t="shared" si="3"/>
        <v>-0.18591999999996744</v>
      </c>
      <c r="T15" s="32">
        <f t="shared" si="3"/>
        <v>-4.4519999999977244E-2</v>
      </c>
      <c r="AL15" s="42"/>
      <c r="AM15" s="42"/>
      <c r="AN15" s="42"/>
    </row>
    <row r="16" spans="1:40" x14ac:dyDescent="0.25">
      <c r="A16" s="1">
        <v>14</v>
      </c>
      <c r="B16" s="2">
        <v>80.587000000000003</v>
      </c>
      <c r="C16" s="2">
        <v>95.289000000000001</v>
      </c>
      <c r="D16" s="2">
        <v>175.904</v>
      </c>
      <c r="E16" s="2">
        <v>1.492</v>
      </c>
      <c r="F16" s="2">
        <v>1.776</v>
      </c>
      <c r="H16" s="31" t="str">
        <f>$D$2</f>
        <v>Pitch</v>
      </c>
      <c r="I16" s="32">
        <f>I112-AVERAGE($I$112:$T$112)</f>
        <v>-0.10479666666671505</v>
      </c>
      <c r="J16" s="32">
        <f t="shared" ref="J16:T16" si="4">J112-AVERAGE($I$112:$T$112)</f>
        <v>1.588333333327796E-2</v>
      </c>
      <c r="K16" s="32">
        <f t="shared" si="4"/>
        <v>7.7803333333292812E-2</v>
      </c>
      <c r="L16" s="32">
        <f t="shared" si="4"/>
        <v>-5.55966666666734E-2</v>
      </c>
      <c r="M16" s="32">
        <f t="shared" si="4"/>
        <v>8.3333333265045439E-5</v>
      </c>
      <c r="N16" s="32">
        <f t="shared" si="4"/>
        <v>1.4833333333115206E-3</v>
      </c>
      <c r="O16" s="32">
        <f t="shared" si="4"/>
        <v>0.1380833333332987</v>
      </c>
      <c r="P16" s="32">
        <f t="shared" si="4"/>
        <v>-8.1166666667229492E-3</v>
      </c>
      <c r="Q16" s="32">
        <f t="shared" si="4"/>
        <v>3.2723333333279925E-2</v>
      </c>
      <c r="R16" s="32">
        <f t="shared" si="4"/>
        <v>-6.1566666667260961E-3</v>
      </c>
      <c r="S16" s="32">
        <f t="shared" si="4"/>
        <v>-8.6356666666716819E-2</v>
      </c>
      <c r="T16" s="32">
        <f t="shared" si="4"/>
        <v>-5.0366666667116533E-3</v>
      </c>
      <c r="AL16" s="42"/>
      <c r="AM16" s="42"/>
      <c r="AN16" s="42"/>
    </row>
    <row r="17" spans="1:40" x14ac:dyDescent="0.25">
      <c r="A17" s="1">
        <v>15</v>
      </c>
      <c r="B17" s="2">
        <v>80.796000000000006</v>
      </c>
      <c r="C17" s="2">
        <v>95.302000000000007</v>
      </c>
      <c r="D17" s="2">
        <v>176.09299999999999</v>
      </c>
      <c r="E17" s="2">
        <v>1.175</v>
      </c>
      <c r="F17" s="2">
        <v>1.4450000000000001</v>
      </c>
      <c r="AL17" s="42"/>
      <c r="AM17" s="42"/>
      <c r="AN17" s="42"/>
    </row>
    <row r="18" spans="1:40" x14ac:dyDescent="0.25">
      <c r="A18" s="1">
        <v>16</v>
      </c>
      <c r="B18" s="2">
        <v>80.94</v>
      </c>
      <c r="C18" s="2">
        <v>95.239000000000004</v>
      </c>
      <c r="D18" s="2">
        <v>176.27099999999999</v>
      </c>
      <c r="E18" s="2">
        <v>1.8240000000000001</v>
      </c>
      <c r="F18" s="2">
        <v>1.375</v>
      </c>
      <c r="AL18" s="42"/>
      <c r="AM18" s="42"/>
      <c r="AN18" s="42"/>
    </row>
    <row r="19" spans="1:40" x14ac:dyDescent="0.25">
      <c r="A19" s="1">
        <v>17</v>
      </c>
      <c r="B19" s="2">
        <v>80.853999999999999</v>
      </c>
      <c r="C19" s="2">
        <v>95.363</v>
      </c>
      <c r="D19" s="2">
        <v>176.21199999999999</v>
      </c>
      <c r="E19" s="2">
        <v>1.2969999999999999</v>
      </c>
      <c r="F19" s="2">
        <v>1.34</v>
      </c>
      <c r="AL19" s="42"/>
      <c r="AM19" s="42"/>
      <c r="AN19" s="42"/>
    </row>
    <row r="20" spans="1:40" x14ac:dyDescent="0.25">
      <c r="A20" s="1">
        <v>18</v>
      </c>
      <c r="B20" s="2">
        <v>81.259</v>
      </c>
      <c r="C20" s="2">
        <v>94.986000000000004</v>
      </c>
      <c r="D20" s="2">
        <v>176.262</v>
      </c>
      <c r="E20" s="2">
        <v>1.6259999999999999</v>
      </c>
      <c r="F20" s="2">
        <v>1.3620000000000001</v>
      </c>
      <c r="AM20" s="42"/>
      <c r="AN20" s="42"/>
    </row>
    <row r="21" spans="1:40" x14ac:dyDescent="0.25">
      <c r="A21" s="1">
        <v>19</v>
      </c>
      <c r="B21" s="2">
        <v>81.275000000000006</v>
      </c>
      <c r="C21" s="2">
        <v>94.966999999999999</v>
      </c>
      <c r="D21" s="2">
        <v>176.31399999999999</v>
      </c>
      <c r="E21" s="2">
        <v>1.5109999999999999</v>
      </c>
      <c r="F21" s="2">
        <v>1.425</v>
      </c>
      <c r="I21" s="2">
        <v>7</v>
      </c>
      <c r="J21" s="2">
        <v>8</v>
      </c>
      <c r="K21" s="2">
        <v>9</v>
      </c>
      <c r="L21" s="2">
        <v>10</v>
      </c>
      <c r="M21" s="2">
        <v>11</v>
      </c>
      <c r="N21" s="2">
        <v>12</v>
      </c>
      <c r="O21" s="2">
        <v>1</v>
      </c>
      <c r="P21" s="2">
        <v>2</v>
      </c>
      <c r="Q21" s="2">
        <v>3</v>
      </c>
      <c r="R21" s="2">
        <v>4</v>
      </c>
      <c r="S21" s="2">
        <v>5</v>
      </c>
      <c r="T21" s="2">
        <v>6</v>
      </c>
      <c r="V21" s="2"/>
      <c r="W21" s="2">
        <v>7</v>
      </c>
      <c r="X21" s="2">
        <v>8</v>
      </c>
      <c r="Y21" s="2">
        <v>9</v>
      </c>
      <c r="Z21" s="2">
        <v>10</v>
      </c>
      <c r="AA21" s="2">
        <v>11</v>
      </c>
      <c r="AB21" s="2">
        <v>12</v>
      </c>
      <c r="AC21" s="2">
        <v>1</v>
      </c>
      <c r="AD21" s="2">
        <v>2</v>
      </c>
      <c r="AE21" s="2">
        <v>3</v>
      </c>
      <c r="AF21" s="2">
        <v>4</v>
      </c>
      <c r="AG21" s="2">
        <v>5</v>
      </c>
      <c r="AH21" s="2">
        <v>6</v>
      </c>
      <c r="AL21" s="42"/>
      <c r="AM21" s="42"/>
      <c r="AN21" s="42"/>
    </row>
    <row r="22" spans="1:40" x14ac:dyDescent="0.25">
      <c r="A22" s="1">
        <v>20</v>
      </c>
      <c r="B22" s="2">
        <v>81.033000000000001</v>
      </c>
      <c r="C22" s="2">
        <v>95.114999999999995</v>
      </c>
      <c r="D22" s="2">
        <v>176.125</v>
      </c>
      <c r="E22" s="2">
        <v>1.427</v>
      </c>
      <c r="F22" s="2">
        <v>1.835</v>
      </c>
      <c r="H22" s="11" t="str">
        <f>$B$2</f>
        <v>Space</v>
      </c>
      <c r="I22" s="33">
        <v>-90</v>
      </c>
      <c r="J22" s="33">
        <v>-75</v>
      </c>
      <c r="K22" s="33">
        <v>-60</v>
      </c>
      <c r="L22" s="33">
        <v>-45</v>
      </c>
      <c r="M22" s="33">
        <v>-30</v>
      </c>
      <c r="N22" s="33">
        <v>-15</v>
      </c>
      <c r="O22" s="33">
        <v>0</v>
      </c>
      <c r="P22" s="33">
        <v>15</v>
      </c>
      <c r="Q22" s="33">
        <v>30</v>
      </c>
      <c r="R22" s="33">
        <v>45</v>
      </c>
      <c r="S22" s="33">
        <v>60</v>
      </c>
      <c r="T22" s="33">
        <v>75</v>
      </c>
      <c r="U22" s="49"/>
      <c r="V22" s="51" t="str">
        <f>$E$2</f>
        <v>LER</v>
      </c>
      <c r="W22" s="33">
        <v>-90</v>
      </c>
      <c r="X22" s="33">
        <v>-75</v>
      </c>
      <c r="Y22" s="33">
        <v>-60</v>
      </c>
      <c r="Z22" s="33">
        <v>-45</v>
      </c>
      <c r="AA22" s="33">
        <v>-30</v>
      </c>
      <c r="AB22" s="33">
        <v>-15</v>
      </c>
      <c r="AC22" s="33">
        <v>0</v>
      </c>
      <c r="AD22" s="33">
        <v>15</v>
      </c>
      <c r="AE22" s="33">
        <v>30</v>
      </c>
      <c r="AF22" s="33">
        <v>45</v>
      </c>
      <c r="AG22" s="33">
        <v>60</v>
      </c>
      <c r="AH22" s="33">
        <v>75</v>
      </c>
      <c r="AL22" s="42"/>
      <c r="AM22" s="42"/>
      <c r="AN22" s="42"/>
    </row>
    <row r="23" spans="1:40" x14ac:dyDescent="0.25">
      <c r="A23" s="1">
        <v>21</v>
      </c>
      <c r="B23" s="2">
        <v>80.367999999999995</v>
      </c>
      <c r="C23" s="2">
        <v>95.385000000000005</v>
      </c>
      <c r="D23" s="2">
        <v>175.696</v>
      </c>
      <c r="E23" s="2">
        <v>1.304</v>
      </c>
      <c r="F23" s="2">
        <v>1.256</v>
      </c>
      <c r="H23" s="4">
        <v>1</v>
      </c>
      <c r="I23" s="25">
        <f>INDEX($B$3:$B$327,$H23+(I$21-1)*25,1)</f>
        <v>80.849999999999994</v>
      </c>
      <c r="J23" s="26">
        <f t="shared" ref="I23:T32" si="5">INDEX($B$3:$B$327,$H23+(J$21-1)*25,1)</f>
        <v>81.325999999999993</v>
      </c>
      <c r="K23" s="26">
        <f t="shared" si="5"/>
        <v>81.36</v>
      </c>
      <c r="L23" s="26">
        <f t="shared" si="5"/>
        <v>80.825999999999993</v>
      </c>
      <c r="M23" s="26">
        <f t="shared" si="5"/>
        <v>81.311999999999998</v>
      </c>
      <c r="N23" s="26">
        <f t="shared" si="5"/>
        <v>81.230999999999995</v>
      </c>
      <c r="O23" s="26">
        <f t="shared" si="5"/>
        <v>80.801000000000002</v>
      </c>
      <c r="P23" s="26">
        <f t="shared" si="5"/>
        <v>81.188999999999993</v>
      </c>
      <c r="Q23" s="26">
        <f t="shared" si="5"/>
        <v>81.296999999999997</v>
      </c>
      <c r="R23" s="26">
        <f t="shared" si="5"/>
        <v>81.126999999999995</v>
      </c>
      <c r="S23" s="26">
        <f t="shared" si="5"/>
        <v>81.281000000000006</v>
      </c>
      <c r="T23" s="27">
        <f t="shared" si="5"/>
        <v>80.787999999999997</v>
      </c>
      <c r="U23" s="42"/>
      <c r="V23" s="4">
        <v>1</v>
      </c>
      <c r="W23" s="25">
        <f t="shared" ref="W23:AH32" si="6">INDEX($E$3:$E$327,$H23+(W$21-1)*25,1)</f>
        <v>1.6240000000000001</v>
      </c>
      <c r="X23" s="25">
        <f t="shared" si="6"/>
        <v>2.2959999999999998</v>
      </c>
      <c r="Y23" s="25">
        <f t="shared" si="6"/>
        <v>2.1920000000000002</v>
      </c>
      <c r="Z23" s="25">
        <f t="shared" si="6"/>
        <v>1.8819999999999999</v>
      </c>
      <c r="AA23" s="25">
        <f t="shared" si="6"/>
        <v>1.99</v>
      </c>
      <c r="AB23" s="25">
        <f t="shared" si="6"/>
        <v>1.752</v>
      </c>
      <c r="AC23" s="25">
        <f t="shared" si="6"/>
        <v>2.008</v>
      </c>
      <c r="AD23" s="25">
        <f t="shared" si="6"/>
        <v>1.9850000000000001</v>
      </c>
      <c r="AE23" s="25">
        <f t="shared" si="6"/>
        <v>2.089</v>
      </c>
      <c r="AF23" s="25">
        <f t="shared" si="6"/>
        <v>2.081</v>
      </c>
      <c r="AG23" s="25">
        <f t="shared" si="6"/>
        <v>2.448</v>
      </c>
      <c r="AH23" s="25">
        <f t="shared" si="6"/>
        <v>2.0579999999999998</v>
      </c>
      <c r="AL23" s="42"/>
      <c r="AM23" s="42"/>
      <c r="AN23" s="42"/>
    </row>
    <row r="24" spans="1:40" x14ac:dyDescent="0.25">
      <c r="A24" s="1">
        <v>22</v>
      </c>
      <c r="B24" s="2">
        <v>81.111000000000004</v>
      </c>
      <c r="C24" s="2">
        <v>94.98</v>
      </c>
      <c r="D24" s="2">
        <v>176.07400000000001</v>
      </c>
      <c r="E24" s="2">
        <v>1.339</v>
      </c>
      <c r="F24" s="2">
        <v>1.458</v>
      </c>
      <c r="H24" s="5">
        <v>2</v>
      </c>
      <c r="I24" s="28">
        <f t="shared" si="5"/>
        <v>80.748000000000005</v>
      </c>
      <c r="J24" s="7">
        <f t="shared" si="5"/>
        <v>81.099999999999994</v>
      </c>
      <c r="K24" s="7">
        <f t="shared" si="5"/>
        <v>81.308000000000007</v>
      </c>
      <c r="L24" s="7">
        <f t="shared" si="5"/>
        <v>81.097999999999999</v>
      </c>
      <c r="M24" s="7">
        <f t="shared" si="5"/>
        <v>80.911000000000001</v>
      </c>
      <c r="N24" s="7">
        <f t="shared" si="5"/>
        <v>80.808999999999997</v>
      </c>
      <c r="O24" s="7">
        <f t="shared" si="5"/>
        <v>80.918000000000006</v>
      </c>
      <c r="P24" s="7">
        <f t="shared" si="5"/>
        <v>81.162999999999997</v>
      </c>
      <c r="Q24" s="7">
        <f t="shared" si="5"/>
        <v>81.409000000000006</v>
      </c>
      <c r="R24" s="7">
        <f t="shared" si="5"/>
        <v>81.789000000000001</v>
      </c>
      <c r="S24" s="7">
        <f t="shared" si="5"/>
        <v>81.17</v>
      </c>
      <c r="T24" s="8">
        <f t="shared" si="5"/>
        <v>80.921000000000006</v>
      </c>
      <c r="U24" s="42"/>
      <c r="V24" s="5">
        <v>2</v>
      </c>
      <c r="W24" s="25">
        <f t="shared" si="6"/>
        <v>2.1970000000000001</v>
      </c>
      <c r="X24" s="25">
        <f t="shared" si="6"/>
        <v>1.9319999999999999</v>
      </c>
      <c r="Y24" s="25">
        <f t="shared" si="6"/>
        <v>1.9530000000000001</v>
      </c>
      <c r="Z24" s="25">
        <f t="shared" si="6"/>
        <v>2.028</v>
      </c>
      <c r="AA24" s="25">
        <f t="shared" si="6"/>
        <v>1.6739999999999999</v>
      </c>
      <c r="AB24" s="25">
        <f t="shared" si="6"/>
        <v>2.1360000000000001</v>
      </c>
      <c r="AC24" s="25">
        <f t="shared" si="6"/>
        <v>1.147</v>
      </c>
      <c r="AD24" s="25">
        <f t="shared" si="6"/>
        <v>1.897</v>
      </c>
      <c r="AE24" s="25">
        <f t="shared" si="6"/>
        <v>2.2789999999999999</v>
      </c>
      <c r="AF24" s="25">
        <f t="shared" si="6"/>
        <v>2.1930000000000001</v>
      </c>
      <c r="AG24" s="25">
        <f t="shared" si="6"/>
        <v>2.9529999999999998</v>
      </c>
      <c r="AH24" s="25">
        <f t="shared" si="6"/>
        <v>2.2309999999999999</v>
      </c>
      <c r="AL24" s="42"/>
      <c r="AM24" s="42"/>
      <c r="AN24" s="42"/>
    </row>
    <row r="25" spans="1:40" x14ac:dyDescent="0.25">
      <c r="A25" s="1">
        <v>23</v>
      </c>
      <c r="B25" s="2">
        <v>81.114999999999995</v>
      </c>
      <c r="C25" s="2">
        <v>95.049000000000007</v>
      </c>
      <c r="D25" s="2">
        <v>176.13</v>
      </c>
      <c r="E25" s="2">
        <v>1.379</v>
      </c>
      <c r="F25" s="2">
        <v>1.3049999999999999</v>
      </c>
      <c r="H25" s="5">
        <v>3</v>
      </c>
      <c r="I25" s="28">
        <f t="shared" si="5"/>
        <v>81.427000000000007</v>
      </c>
      <c r="J25" s="7">
        <f t="shared" si="5"/>
        <v>81.435000000000002</v>
      </c>
      <c r="K25" s="7">
        <f t="shared" si="5"/>
        <v>81.155000000000001</v>
      </c>
      <c r="L25" s="7">
        <f t="shared" si="5"/>
        <v>81.373999999999995</v>
      </c>
      <c r="M25" s="7">
        <f t="shared" si="5"/>
        <v>81.39</v>
      </c>
      <c r="N25" s="7">
        <f t="shared" si="5"/>
        <v>80.912999999999997</v>
      </c>
      <c r="O25" s="7">
        <f t="shared" si="5"/>
        <v>80.69</v>
      </c>
      <c r="P25" s="7">
        <f t="shared" si="5"/>
        <v>80.867999999999995</v>
      </c>
      <c r="Q25" s="7">
        <f t="shared" si="5"/>
        <v>81.328000000000003</v>
      </c>
      <c r="R25" s="7">
        <f t="shared" si="5"/>
        <v>81.149000000000001</v>
      </c>
      <c r="S25" s="7">
        <f t="shared" si="5"/>
        <v>81.334000000000003</v>
      </c>
      <c r="T25" s="8">
        <f t="shared" si="5"/>
        <v>81.438000000000002</v>
      </c>
      <c r="U25" s="42"/>
      <c r="V25" s="5">
        <v>3</v>
      </c>
      <c r="W25" s="25">
        <f t="shared" si="6"/>
        <v>2.0470000000000002</v>
      </c>
      <c r="X25" s="25">
        <f t="shared" si="6"/>
        <v>1.7549999999999999</v>
      </c>
      <c r="Y25" s="25">
        <f t="shared" si="6"/>
        <v>2.1360000000000001</v>
      </c>
      <c r="Z25" s="25">
        <f t="shared" si="6"/>
        <v>1.708</v>
      </c>
      <c r="AA25" s="25">
        <f t="shared" si="6"/>
        <v>2.0270000000000001</v>
      </c>
      <c r="AB25" s="25">
        <f t="shared" si="6"/>
        <v>2.1339999999999999</v>
      </c>
      <c r="AC25" s="25">
        <f t="shared" si="6"/>
        <v>1.504</v>
      </c>
      <c r="AD25" s="25">
        <f t="shared" si="6"/>
        <v>1.9039999999999999</v>
      </c>
      <c r="AE25" s="25">
        <f t="shared" si="6"/>
        <v>2.0920000000000001</v>
      </c>
      <c r="AF25" s="25">
        <f t="shared" si="6"/>
        <v>2.0230000000000001</v>
      </c>
      <c r="AG25" s="25">
        <f t="shared" si="6"/>
        <v>2.8540000000000001</v>
      </c>
      <c r="AH25" s="25">
        <f t="shared" si="6"/>
        <v>1.9990000000000001</v>
      </c>
      <c r="AL25" s="42"/>
      <c r="AM25" s="42"/>
      <c r="AN25" s="42"/>
    </row>
    <row r="26" spans="1:40" x14ac:dyDescent="0.25">
      <c r="A26" s="1">
        <v>24</v>
      </c>
      <c r="B26" s="2">
        <v>81.364999999999995</v>
      </c>
      <c r="C26" s="2">
        <v>94.894000000000005</v>
      </c>
      <c r="D26" s="2">
        <v>176.23400000000001</v>
      </c>
      <c r="E26" s="2">
        <v>1.611</v>
      </c>
      <c r="F26" s="2">
        <v>1.488</v>
      </c>
      <c r="H26" s="5">
        <v>4</v>
      </c>
      <c r="I26" s="28">
        <f t="shared" si="5"/>
        <v>80.998999999999995</v>
      </c>
      <c r="J26" s="7">
        <f t="shared" si="5"/>
        <v>81.284000000000006</v>
      </c>
      <c r="K26" s="7">
        <f t="shared" si="5"/>
        <v>80.900999999999996</v>
      </c>
      <c r="L26" s="7">
        <f t="shared" si="5"/>
        <v>81.521000000000001</v>
      </c>
      <c r="M26" s="7">
        <f t="shared" si="5"/>
        <v>81.135999999999996</v>
      </c>
      <c r="N26" s="7">
        <f t="shared" si="5"/>
        <v>81.247</v>
      </c>
      <c r="O26" s="7">
        <f t="shared" si="5"/>
        <v>80.653999999999996</v>
      </c>
      <c r="P26" s="7">
        <f t="shared" si="5"/>
        <v>81.200999999999993</v>
      </c>
      <c r="Q26" s="7">
        <f t="shared" si="5"/>
        <v>81.227999999999994</v>
      </c>
      <c r="R26" s="7">
        <f t="shared" si="5"/>
        <v>81.168000000000006</v>
      </c>
      <c r="S26" s="7">
        <f t="shared" si="5"/>
        <v>81.105999999999995</v>
      </c>
      <c r="T26" s="8">
        <f t="shared" si="5"/>
        <v>81.216999999999999</v>
      </c>
      <c r="U26" s="42"/>
      <c r="V26" s="5">
        <v>4</v>
      </c>
      <c r="W26" s="25">
        <f t="shared" si="6"/>
        <v>2.0630000000000002</v>
      </c>
      <c r="X26" s="25">
        <f t="shared" si="6"/>
        <v>1.948</v>
      </c>
      <c r="Y26" s="25">
        <f t="shared" si="6"/>
        <v>2.57</v>
      </c>
      <c r="Z26" s="25">
        <f t="shared" si="6"/>
        <v>2.4750000000000001</v>
      </c>
      <c r="AA26" s="25">
        <f t="shared" si="6"/>
        <v>1.8089999999999999</v>
      </c>
      <c r="AB26" s="25">
        <f t="shared" si="6"/>
        <v>2.169</v>
      </c>
      <c r="AC26" s="25">
        <f t="shared" si="6"/>
        <v>1.294</v>
      </c>
      <c r="AD26" s="25">
        <f t="shared" si="6"/>
        <v>2.3010000000000002</v>
      </c>
      <c r="AE26" s="25">
        <f t="shared" si="6"/>
        <v>1.958</v>
      </c>
      <c r="AF26" s="25">
        <f t="shared" si="6"/>
        <v>1.9590000000000001</v>
      </c>
      <c r="AG26" s="25">
        <f t="shared" si="6"/>
        <v>2.206</v>
      </c>
      <c r="AH26" s="25">
        <f t="shared" si="6"/>
        <v>2.5459999999999998</v>
      </c>
      <c r="AL26" s="42"/>
      <c r="AM26" s="42"/>
      <c r="AN26" s="42"/>
    </row>
    <row r="27" spans="1:40" x14ac:dyDescent="0.25">
      <c r="A27" s="1">
        <v>25</v>
      </c>
      <c r="B27" s="2">
        <v>81.114999999999995</v>
      </c>
      <c r="C27" s="2">
        <v>94.924000000000007</v>
      </c>
      <c r="D27" s="2">
        <v>176.017</v>
      </c>
      <c r="E27" s="2">
        <v>1.649</v>
      </c>
      <c r="F27" s="2">
        <v>1.6910000000000001</v>
      </c>
      <c r="H27" s="5">
        <v>5</v>
      </c>
      <c r="I27" s="28">
        <f t="shared" si="5"/>
        <v>80.917000000000002</v>
      </c>
      <c r="J27" s="7">
        <f t="shared" si="5"/>
        <v>81.180999999999997</v>
      </c>
      <c r="K27" s="7">
        <f t="shared" si="5"/>
        <v>80.989999999999995</v>
      </c>
      <c r="L27" s="7">
        <f t="shared" si="5"/>
        <v>81.239000000000004</v>
      </c>
      <c r="M27" s="7">
        <f t="shared" si="5"/>
        <v>81.224000000000004</v>
      </c>
      <c r="N27" s="7">
        <f t="shared" si="5"/>
        <v>80.962000000000003</v>
      </c>
      <c r="O27" s="7">
        <f t="shared" si="5"/>
        <v>80.902000000000001</v>
      </c>
      <c r="P27" s="7">
        <f t="shared" si="5"/>
        <v>81.293999999999997</v>
      </c>
      <c r="Q27" s="7">
        <f t="shared" si="5"/>
        <v>81.335999999999999</v>
      </c>
      <c r="R27" s="7">
        <f t="shared" si="5"/>
        <v>81.391000000000005</v>
      </c>
      <c r="S27" s="7">
        <f t="shared" si="5"/>
        <v>80.947999999999993</v>
      </c>
      <c r="T27" s="8">
        <f t="shared" si="5"/>
        <v>81.298000000000002</v>
      </c>
      <c r="U27" s="42"/>
      <c r="V27" s="5">
        <v>5</v>
      </c>
      <c r="W27" s="25">
        <f t="shared" si="6"/>
        <v>2.133</v>
      </c>
      <c r="X27" s="25">
        <f t="shared" si="6"/>
        <v>2.1739999999999999</v>
      </c>
      <c r="Y27" s="25">
        <f t="shared" si="6"/>
        <v>2.004</v>
      </c>
      <c r="Z27" s="25">
        <f t="shared" si="6"/>
        <v>1.9350000000000001</v>
      </c>
      <c r="AA27" s="25">
        <f t="shared" si="6"/>
        <v>2.0750000000000002</v>
      </c>
      <c r="AB27" s="25">
        <f t="shared" si="6"/>
        <v>2.149</v>
      </c>
      <c r="AC27" s="25">
        <f t="shared" si="6"/>
        <v>1.2949999999999999</v>
      </c>
      <c r="AD27" s="25">
        <f t="shared" si="6"/>
        <v>1.76</v>
      </c>
      <c r="AE27" s="25">
        <f t="shared" si="6"/>
        <v>2.153</v>
      </c>
      <c r="AF27" s="25">
        <f t="shared" si="6"/>
        <v>1.8759999999999999</v>
      </c>
      <c r="AG27" s="25">
        <f t="shared" si="6"/>
        <v>2.0329999999999999</v>
      </c>
      <c r="AH27" s="25">
        <f t="shared" si="6"/>
        <v>2.448</v>
      </c>
      <c r="AL27" s="42"/>
      <c r="AM27" s="42"/>
      <c r="AN27" s="42"/>
    </row>
    <row r="28" spans="1:40" x14ac:dyDescent="0.25">
      <c r="A28" s="1">
        <v>26</v>
      </c>
      <c r="B28" s="2">
        <v>81.188999999999993</v>
      </c>
      <c r="C28" s="2">
        <v>95.185000000000002</v>
      </c>
      <c r="D28" s="2">
        <v>176.422</v>
      </c>
      <c r="E28" s="2">
        <v>1.9850000000000001</v>
      </c>
      <c r="F28" s="2">
        <v>1.9</v>
      </c>
      <c r="H28" s="5">
        <v>6</v>
      </c>
      <c r="I28" s="28">
        <f t="shared" si="5"/>
        <v>80.804000000000002</v>
      </c>
      <c r="J28" s="7">
        <f t="shared" si="5"/>
        <v>81.143000000000001</v>
      </c>
      <c r="K28" s="7">
        <f t="shared" si="5"/>
        <v>81.281999999999996</v>
      </c>
      <c r="L28" s="7">
        <f t="shared" si="5"/>
        <v>81.465000000000003</v>
      </c>
      <c r="M28" s="7">
        <f t="shared" si="5"/>
        <v>81.228999999999999</v>
      </c>
      <c r="N28" s="7">
        <f t="shared" si="5"/>
        <v>81.018000000000001</v>
      </c>
      <c r="O28" s="7">
        <f t="shared" si="5"/>
        <v>81.094999999999999</v>
      </c>
      <c r="P28" s="7">
        <f t="shared" si="5"/>
        <v>81.135999999999996</v>
      </c>
      <c r="Q28" s="7">
        <f t="shared" si="5"/>
        <v>81.031000000000006</v>
      </c>
      <c r="R28" s="7">
        <f t="shared" si="5"/>
        <v>81.278000000000006</v>
      </c>
      <c r="S28" s="7">
        <f t="shared" si="5"/>
        <v>81.274000000000001</v>
      </c>
      <c r="T28" s="8">
        <f t="shared" si="5"/>
        <v>80.97</v>
      </c>
      <c r="U28" s="42"/>
      <c r="V28" s="5">
        <v>6</v>
      </c>
      <c r="W28" s="25">
        <f t="shared" si="6"/>
        <v>1.984</v>
      </c>
      <c r="X28" s="25">
        <f t="shared" si="6"/>
        <v>2.2040000000000002</v>
      </c>
      <c r="Y28" s="25">
        <f t="shared" si="6"/>
        <v>1.891</v>
      </c>
      <c r="Z28" s="25">
        <f t="shared" si="6"/>
        <v>2.3519999999999999</v>
      </c>
      <c r="AA28" s="25">
        <f t="shared" si="6"/>
        <v>1.974</v>
      </c>
      <c r="AB28" s="25">
        <f t="shared" si="6"/>
        <v>1.6759999999999999</v>
      </c>
      <c r="AC28" s="25">
        <f t="shared" si="6"/>
        <v>0.90100000000000002</v>
      </c>
      <c r="AD28" s="25">
        <f t="shared" si="6"/>
        <v>2.738</v>
      </c>
      <c r="AE28" s="25">
        <f t="shared" si="6"/>
        <v>1.718</v>
      </c>
      <c r="AF28" s="25">
        <f t="shared" si="6"/>
        <v>2.1800000000000002</v>
      </c>
      <c r="AG28" s="25">
        <f t="shared" si="6"/>
        <v>2.3069999999999999</v>
      </c>
      <c r="AH28" s="25">
        <f t="shared" si="6"/>
        <v>2.3159999999999998</v>
      </c>
      <c r="AL28" s="42"/>
      <c r="AM28" s="42"/>
      <c r="AN28" s="42"/>
    </row>
    <row r="29" spans="1:40" x14ac:dyDescent="0.25">
      <c r="A29" s="1">
        <v>27</v>
      </c>
      <c r="B29" s="2">
        <v>81.162999999999997</v>
      </c>
      <c r="C29" s="2">
        <v>94.915999999999997</v>
      </c>
      <c r="D29" s="2">
        <v>176.01900000000001</v>
      </c>
      <c r="E29" s="2">
        <v>1.897</v>
      </c>
      <c r="F29" s="2">
        <v>2.1920000000000002</v>
      </c>
      <c r="H29" s="5">
        <v>7</v>
      </c>
      <c r="I29" s="28">
        <f t="shared" si="5"/>
        <v>80.819000000000003</v>
      </c>
      <c r="J29" s="7">
        <f t="shared" si="5"/>
        <v>81.346999999999994</v>
      </c>
      <c r="K29" s="7">
        <f t="shared" si="5"/>
        <v>81.317999999999998</v>
      </c>
      <c r="L29" s="7">
        <f t="shared" si="5"/>
        <v>81.569000000000003</v>
      </c>
      <c r="M29" s="7">
        <f t="shared" si="5"/>
        <v>80.736999999999995</v>
      </c>
      <c r="N29" s="7">
        <f t="shared" si="5"/>
        <v>81.001000000000005</v>
      </c>
      <c r="O29" s="7">
        <f t="shared" si="5"/>
        <v>81.236000000000004</v>
      </c>
      <c r="P29" s="7">
        <f t="shared" si="5"/>
        <v>81.325000000000003</v>
      </c>
      <c r="Q29" s="7">
        <f t="shared" si="5"/>
        <v>81.411000000000001</v>
      </c>
      <c r="R29" s="7">
        <f t="shared" si="5"/>
        <v>81.915999999999997</v>
      </c>
      <c r="S29" s="7">
        <f t="shared" si="5"/>
        <v>81.355000000000004</v>
      </c>
      <c r="T29" s="8">
        <f t="shared" si="5"/>
        <v>81.116</v>
      </c>
      <c r="U29" s="42"/>
      <c r="V29" s="5">
        <v>7</v>
      </c>
      <c r="W29" s="25">
        <f t="shared" si="6"/>
        <v>2.0529999999999999</v>
      </c>
      <c r="X29" s="25">
        <f t="shared" si="6"/>
        <v>2.1960000000000002</v>
      </c>
      <c r="Y29" s="25">
        <f t="shared" si="6"/>
        <v>2.3170000000000002</v>
      </c>
      <c r="Z29" s="25">
        <f t="shared" si="6"/>
        <v>1.6419999999999999</v>
      </c>
      <c r="AA29" s="25">
        <f t="shared" si="6"/>
        <v>1.917</v>
      </c>
      <c r="AB29" s="25">
        <f t="shared" si="6"/>
        <v>1.9930000000000001</v>
      </c>
      <c r="AC29" s="25">
        <f t="shared" si="6"/>
        <v>1.1459999999999999</v>
      </c>
      <c r="AD29" s="25">
        <f t="shared" si="6"/>
        <v>2.101</v>
      </c>
      <c r="AE29" s="25">
        <f t="shared" si="6"/>
        <v>1.901</v>
      </c>
      <c r="AF29" s="25">
        <f t="shared" si="6"/>
        <v>1.97</v>
      </c>
      <c r="AG29" s="25">
        <f t="shared" si="6"/>
        <v>2.7629999999999999</v>
      </c>
      <c r="AH29" s="25">
        <f t="shared" si="6"/>
        <v>2.1320000000000001</v>
      </c>
      <c r="AL29" s="42"/>
      <c r="AM29" s="42"/>
      <c r="AN29" s="42"/>
    </row>
    <row r="30" spans="1:40" x14ac:dyDescent="0.25">
      <c r="A30" s="1">
        <v>28</v>
      </c>
      <c r="B30" s="2">
        <v>80.867999999999995</v>
      </c>
      <c r="C30" s="2">
        <v>95.054000000000002</v>
      </c>
      <c r="D30" s="2">
        <v>175.93700000000001</v>
      </c>
      <c r="E30" s="2">
        <v>1.9039999999999999</v>
      </c>
      <c r="F30" s="2">
        <v>2.2570000000000001</v>
      </c>
      <c r="H30" s="5">
        <v>8</v>
      </c>
      <c r="I30" s="28">
        <f t="shared" si="5"/>
        <v>81.132999999999996</v>
      </c>
      <c r="J30" s="7">
        <f t="shared" si="5"/>
        <v>81.177999999999997</v>
      </c>
      <c r="K30" s="7">
        <f t="shared" si="5"/>
        <v>81.424999999999997</v>
      </c>
      <c r="L30" s="7">
        <f t="shared" si="5"/>
        <v>82.043999999999997</v>
      </c>
      <c r="M30" s="7">
        <f t="shared" si="5"/>
        <v>81.492999999999995</v>
      </c>
      <c r="N30" s="7">
        <f t="shared" si="5"/>
        <v>81.096999999999994</v>
      </c>
      <c r="O30" s="7">
        <f t="shared" si="5"/>
        <v>80.936000000000007</v>
      </c>
      <c r="P30" s="7">
        <f t="shared" si="5"/>
        <v>81.186999999999998</v>
      </c>
      <c r="Q30" s="7">
        <f t="shared" si="5"/>
        <v>81.238</v>
      </c>
      <c r="R30" s="7">
        <f t="shared" si="5"/>
        <v>80.924000000000007</v>
      </c>
      <c r="S30" s="7">
        <f t="shared" si="5"/>
        <v>81.126000000000005</v>
      </c>
      <c r="T30" s="8">
        <f t="shared" si="5"/>
        <v>81.605999999999995</v>
      </c>
      <c r="U30" s="42"/>
      <c r="V30" s="5">
        <v>8</v>
      </c>
      <c r="W30" s="25">
        <f t="shared" si="6"/>
        <v>2.484</v>
      </c>
      <c r="X30" s="25">
        <f t="shared" si="6"/>
        <v>2.1379999999999999</v>
      </c>
      <c r="Y30" s="25">
        <f t="shared" si="6"/>
        <v>2.0289999999999999</v>
      </c>
      <c r="Z30" s="25">
        <f t="shared" si="6"/>
        <v>2.0379999999999998</v>
      </c>
      <c r="AA30" s="25">
        <f t="shared" si="6"/>
        <v>1.9159999999999999</v>
      </c>
      <c r="AB30" s="25">
        <f t="shared" si="6"/>
        <v>1.5980000000000001</v>
      </c>
      <c r="AC30" s="25">
        <f t="shared" si="6"/>
        <v>1.3160000000000001</v>
      </c>
      <c r="AD30" s="25">
        <f t="shared" si="6"/>
        <v>1.962</v>
      </c>
      <c r="AE30" s="25">
        <f t="shared" si="6"/>
        <v>2.67</v>
      </c>
      <c r="AF30" s="25">
        <f t="shared" si="6"/>
        <v>2.0459999999999998</v>
      </c>
      <c r="AG30" s="25">
        <f t="shared" si="6"/>
        <v>1.9610000000000001</v>
      </c>
      <c r="AH30" s="25">
        <f t="shared" si="6"/>
        <v>2.0379999999999998</v>
      </c>
      <c r="AL30" s="42"/>
      <c r="AM30" s="42"/>
      <c r="AN30" s="42"/>
    </row>
    <row r="31" spans="1:40" x14ac:dyDescent="0.25">
      <c r="A31" s="1">
        <v>29</v>
      </c>
      <c r="B31" s="2">
        <v>81.200999999999993</v>
      </c>
      <c r="C31" s="2">
        <v>94.603999999999999</v>
      </c>
      <c r="D31" s="2">
        <v>175.84399999999999</v>
      </c>
      <c r="E31" s="2">
        <v>2.3010000000000002</v>
      </c>
      <c r="F31" s="2">
        <v>1.427</v>
      </c>
      <c r="H31" s="5">
        <v>9</v>
      </c>
      <c r="I31" s="28">
        <f t="shared" si="5"/>
        <v>81.375</v>
      </c>
      <c r="J31" s="7">
        <f t="shared" si="5"/>
        <v>81.491</v>
      </c>
      <c r="K31" s="7">
        <f t="shared" si="5"/>
        <v>81.346000000000004</v>
      </c>
      <c r="L31" s="7">
        <f t="shared" si="5"/>
        <v>81.301000000000002</v>
      </c>
      <c r="M31" s="7">
        <f t="shared" si="5"/>
        <v>81.119</v>
      </c>
      <c r="N31" s="7">
        <f t="shared" si="5"/>
        <v>80.822999999999993</v>
      </c>
      <c r="O31" s="7">
        <f t="shared" si="5"/>
        <v>81.051000000000002</v>
      </c>
      <c r="P31" s="7">
        <f t="shared" si="5"/>
        <v>80.941999999999993</v>
      </c>
      <c r="Q31" s="7">
        <f t="shared" si="5"/>
        <v>81.16</v>
      </c>
      <c r="R31" s="7">
        <f t="shared" si="5"/>
        <v>81.33</v>
      </c>
      <c r="S31" s="7">
        <f t="shared" si="5"/>
        <v>81.594999999999999</v>
      </c>
      <c r="T31" s="8">
        <f t="shared" si="5"/>
        <v>81.013999999999996</v>
      </c>
      <c r="U31" s="42"/>
      <c r="V31" s="5">
        <v>9</v>
      </c>
      <c r="W31" s="25">
        <f t="shared" si="6"/>
        <v>2.226</v>
      </c>
      <c r="X31" s="25">
        <f t="shared" si="6"/>
        <v>2.3170000000000002</v>
      </c>
      <c r="Y31" s="25">
        <f t="shared" si="6"/>
        <v>2.35</v>
      </c>
      <c r="Z31" s="25">
        <f t="shared" si="6"/>
        <v>1.7470000000000001</v>
      </c>
      <c r="AA31" s="25">
        <f t="shared" si="6"/>
        <v>2.2130000000000001</v>
      </c>
      <c r="AB31" s="25">
        <f t="shared" si="6"/>
        <v>1.601</v>
      </c>
      <c r="AC31" s="25">
        <f t="shared" si="6"/>
        <v>1.548</v>
      </c>
      <c r="AD31" s="25">
        <f t="shared" si="6"/>
        <v>2.1480000000000001</v>
      </c>
      <c r="AE31" s="25">
        <f t="shared" si="6"/>
        <v>2.3690000000000002</v>
      </c>
      <c r="AF31" s="25">
        <f t="shared" si="6"/>
        <v>2.0539999999999998</v>
      </c>
      <c r="AG31" s="25">
        <f t="shared" si="6"/>
        <v>2.0499999999999998</v>
      </c>
      <c r="AH31" s="25">
        <f t="shared" si="6"/>
        <v>2.282</v>
      </c>
      <c r="AL31" s="42"/>
      <c r="AM31" s="42"/>
      <c r="AN31" s="42"/>
    </row>
    <row r="32" spans="1:40" x14ac:dyDescent="0.25">
      <c r="A32" s="1">
        <v>30</v>
      </c>
      <c r="B32" s="2">
        <v>81.293999999999997</v>
      </c>
      <c r="C32" s="2">
        <v>94.896000000000001</v>
      </c>
      <c r="D32" s="2">
        <v>176.203</v>
      </c>
      <c r="E32" s="2">
        <v>1.76</v>
      </c>
      <c r="F32" s="2">
        <v>2.1859999999999999</v>
      </c>
      <c r="H32" s="5">
        <v>10</v>
      </c>
      <c r="I32" s="28">
        <f t="shared" si="5"/>
        <v>80.771000000000001</v>
      </c>
      <c r="J32" s="7">
        <f t="shared" si="5"/>
        <v>81.022000000000006</v>
      </c>
      <c r="K32" s="7">
        <f t="shared" si="5"/>
        <v>81.313999999999993</v>
      </c>
      <c r="L32" s="7">
        <f t="shared" si="5"/>
        <v>81.146000000000001</v>
      </c>
      <c r="M32" s="7">
        <f t="shared" si="5"/>
        <v>81.004000000000005</v>
      </c>
      <c r="N32" s="7">
        <f t="shared" si="5"/>
        <v>80.926000000000002</v>
      </c>
      <c r="O32" s="7">
        <f t="shared" si="5"/>
        <v>80.849000000000004</v>
      </c>
      <c r="P32" s="7">
        <f t="shared" si="5"/>
        <v>81.138000000000005</v>
      </c>
      <c r="Q32" s="7">
        <f t="shared" si="5"/>
        <v>81.263000000000005</v>
      </c>
      <c r="R32" s="7">
        <f t="shared" si="5"/>
        <v>81.244</v>
      </c>
      <c r="S32" s="7">
        <f t="shared" si="5"/>
        <v>81.191999999999993</v>
      </c>
      <c r="T32" s="8">
        <f t="shared" si="5"/>
        <v>81.498999999999995</v>
      </c>
      <c r="U32" s="42"/>
      <c r="V32" s="5">
        <v>10</v>
      </c>
      <c r="W32" s="25">
        <f t="shared" si="6"/>
        <v>1.766</v>
      </c>
      <c r="X32" s="25">
        <f t="shared" si="6"/>
        <v>2.0430000000000001</v>
      </c>
      <c r="Y32" s="25">
        <f t="shared" si="6"/>
        <v>2.3580000000000001</v>
      </c>
      <c r="Z32" s="25">
        <f t="shared" si="6"/>
        <v>1.829</v>
      </c>
      <c r="AA32" s="25">
        <f t="shared" si="6"/>
        <v>1.554</v>
      </c>
      <c r="AB32" s="25">
        <f t="shared" si="6"/>
        <v>1.9219999999999999</v>
      </c>
      <c r="AC32" s="25">
        <f t="shared" si="6"/>
        <v>1.2310000000000001</v>
      </c>
      <c r="AD32" s="25">
        <f t="shared" si="6"/>
        <v>1.518</v>
      </c>
      <c r="AE32" s="25">
        <f t="shared" si="6"/>
        <v>1.788</v>
      </c>
      <c r="AF32" s="25">
        <f t="shared" si="6"/>
        <v>2.036</v>
      </c>
      <c r="AG32" s="25">
        <f t="shared" si="6"/>
        <v>2.2959999999999998</v>
      </c>
      <c r="AH32" s="25">
        <f t="shared" si="6"/>
        <v>2.2890000000000001</v>
      </c>
      <c r="AL32" s="42"/>
      <c r="AM32" s="42"/>
      <c r="AN32" s="42"/>
    </row>
    <row r="33" spans="1:40" x14ac:dyDescent="0.25">
      <c r="A33" s="1">
        <v>31</v>
      </c>
      <c r="B33" s="2">
        <v>81.135999999999996</v>
      </c>
      <c r="C33" s="2">
        <v>94.632999999999996</v>
      </c>
      <c r="D33" s="2">
        <v>175.73</v>
      </c>
      <c r="E33" s="2">
        <v>2.738</v>
      </c>
      <c r="F33" s="2">
        <v>2.5299999999999998</v>
      </c>
      <c r="H33" s="5">
        <v>11</v>
      </c>
      <c r="I33" s="28">
        <f t="shared" ref="I33:T47" si="7">INDEX($B$3:$B$327,$H33+(I$21-1)*25,1)</f>
        <v>81.244</v>
      </c>
      <c r="J33" s="7">
        <f t="shared" si="7"/>
        <v>81.239000000000004</v>
      </c>
      <c r="K33" s="7">
        <f t="shared" si="7"/>
        <v>81.253</v>
      </c>
      <c r="L33" s="7">
        <f t="shared" si="7"/>
        <v>81.278000000000006</v>
      </c>
      <c r="M33" s="7">
        <f t="shared" si="7"/>
        <v>81.319000000000003</v>
      </c>
      <c r="N33" s="7">
        <f t="shared" si="7"/>
        <v>80.864999999999995</v>
      </c>
      <c r="O33" s="7">
        <f t="shared" si="7"/>
        <v>80.548000000000002</v>
      </c>
      <c r="P33" s="7">
        <f t="shared" si="7"/>
        <v>81.048000000000002</v>
      </c>
      <c r="Q33" s="7">
        <f t="shared" si="7"/>
        <v>81.28</v>
      </c>
      <c r="R33" s="7">
        <f t="shared" si="7"/>
        <v>80.989999999999995</v>
      </c>
      <c r="S33" s="7">
        <f t="shared" si="7"/>
        <v>81.346000000000004</v>
      </c>
      <c r="T33" s="8">
        <f t="shared" si="7"/>
        <v>81.069999999999993</v>
      </c>
      <c r="U33" s="42"/>
      <c r="V33" s="5">
        <v>11</v>
      </c>
      <c r="W33" s="25">
        <f t="shared" ref="W33:AH47" si="8">INDEX($E$3:$E$327,$H33+(W$21-1)*25,1)</f>
        <v>1.992</v>
      </c>
      <c r="X33" s="25">
        <f t="shared" si="8"/>
        <v>1.859</v>
      </c>
      <c r="Y33" s="25">
        <f t="shared" si="8"/>
        <v>2.597</v>
      </c>
      <c r="Z33" s="25">
        <f t="shared" si="8"/>
        <v>2.0009999999999999</v>
      </c>
      <c r="AA33" s="25">
        <f t="shared" si="8"/>
        <v>2.1749999999999998</v>
      </c>
      <c r="AB33" s="25">
        <f t="shared" si="8"/>
        <v>1.8839999999999999</v>
      </c>
      <c r="AC33" s="25">
        <f t="shared" si="8"/>
        <v>1.298</v>
      </c>
      <c r="AD33" s="25">
        <f t="shared" si="8"/>
        <v>2.048</v>
      </c>
      <c r="AE33" s="25">
        <f t="shared" si="8"/>
        <v>1.88</v>
      </c>
      <c r="AF33" s="25">
        <f t="shared" si="8"/>
        <v>1.883</v>
      </c>
      <c r="AG33" s="25">
        <f t="shared" si="8"/>
        <v>2.2480000000000002</v>
      </c>
      <c r="AH33" s="25">
        <f t="shared" si="8"/>
        <v>1.921</v>
      </c>
      <c r="AL33" s="42"/>
      <c r="AM33" s="42"/>
      <c r="AN33" s="42"/>
    </row>
    <row r="34" spans="1:40" x14ac:dyDescent="0.25">
      <c r="A34" s="1">
        <v>32</v>
      </c>
      <c r="B34" s="2">
        <v>81.325000000000003</v>
      </c>
      <c r="C34" s="2">
        <v>94.706999999999994</v>
      </c>
      <c r="D34" s="2">
        <v>176.07499999999999</v>
      </c>
      <c r="E34" s="2">
        <v>2.101</v>
      </c>
      <c r="F34" s="2">
        <v>2.109</v>
      </c>
      <c r="H34" s="5">
        <v>12</v>
      </c>
      <c r="I34" s="28">
        <f t="shared" si="7"/>
        <v>80.83</v>
      </c>
      <c r="J34" s="7">
        <f t="shared" si="7"/>
        <v>81.566000000000003</v>
      </c>
      <c r="K34" s="7">
        <f t="shared" si="7"/>
        <v>81.403000000000006</v>
      </c>
      <c r="L34" s="7">
        <f t="shared" si="7"/>
        <v>81.759</v>
      </c>
      <c r="M34" s="7">
        <f t="shared" si="7"/>
        <v>81.040000000000006</v>
      </c>
      <c r="N34" s="7">
        <f t="shared" si="7"/>
        <v>80.935000000000002</v>
      </c>
      <c r="O34" s="7">
        <f t="shared" si="7"/>
        <v>80.927999999999997</v>
      </c>
      <c r="P34" s="7">
        <f t="shared" si="7"/>
        <v>80.983000000000004</v>
      </c>
      <c r="Q34" s="7">
        <f t="shared" si="7"/>
        <v>81.073999999999998</v>
      </c>
      <c r="R34" s="7">
        <f t="shared" si="7"/>
        <v>81.272999999999996</v>
      </c>
      <c r="S34" s="7">
        <f t="shared" si="7"/>
        <v>81.215999999999994</v>
      </c>
      <c r="T34" s="8">
        <f t="shared" si="7"/>
        <v>81.385999999999996</v>
      </c>
      <c r="U34" s="42"/>
      <c r="V34" s="5">
        <v>12</v>
      </c>
      <c r="W34" s="25">
        <f t="shared" si="8"/>
        <v>2.121</v>
      </c>
      <c r="X34" s="25">
        <f t="shared" si="8"/>
        <v>2.35</v>
      </c>
      <c r="Y34" s="25">
        <f t="shared" si="8"/>
        <v>2.2410000000000001</v>
      </c>
      <c r="Z34" s="25">
        <f t="shared" si="8"/>
        <v>1.768</v>
      </c>
      <c r="AA34" s="25">
        <f t="shared" si="8"/>
        <v>2.1070000000000002</v>
      </c>
      <c r="AB34" s="25">
        <f t="shared" si="8"/>
        <v>1.4630000000000001</v>
      </c>
      <c r="AC34" s="25">
        <f t="shared" si="8"/>
        <v>1.4990000000000001</v>
      </c>
      <c r="AD34" s="25">
        <f t="shared" si="8"/>
        <v>2.1579999999999999</v>
      </c>
      <c r="AE34" s="25">
        <f t="shared" si="8"/>
        <v>2.214</v>
      </c>
      <c r="AF34" s="25">
        <f t="shared" si="8"/>
        <v>2.2719999999999998</v>
      </c>
      <c r="AG34" s="25">
        <f t="shared" si="8"/>
        <v>2.2120000000000002</v>
      </c>
      <c r="AH34" s="25">
        <f t="shared" si="8"/>
        <v>2.173</v>
      </c>
      <c r="AL34" s="42"/>
      <c r="AM34" s="42"/>
      <c r="AN34" s="42"/>
    </row>
    <row r="35" spans="1:40" x14ac:dyDescent="0.25">
      <c r="A35" s="1">
        <v>33</v>
      </c>
      <c r="B35" s="2">
        <v>81.186999999999998</v>
      </c>
      <c r="C35" s="2">
        <v>94.76</v>
      </c>
      <c r="D35" s="2">
        <v>175.97399999999999</v>
      </c>
      <c r="E35" s="2">
        <v>1.962</v>
      </c>
      <c r="F35" s="2">
        <v>2.46</v>
      </c>
      <c r="H35" s="5">
        <v>13</v>
      </c>
      <c r="I35" s="28">
        <f t="shared" si="7"/>
        <v>81.314999999999998</v>
      </c>
      <c r="J35" s="7">
        <f t="shared" si="7"/>
        <v>81.099000000000004</v>
      </c>
      <c r="K35" s="7">
        <f t="shared" si="7"/>
        <v>80.897999999999996</v>
      </c>
      <c r="L35" s="7">
        <f t="shared" si="7"/>
        <v>81.179000000000002</v>
      </c>
      <c r="M35" s="7">
        <f t="shared" si="7"/>
        <v>80.929000000000002</v>
      </c>
      <c r="N35" s="7">
        <f t="shared" si="7"/>
        <v>80.816000000000003</v>
      </c>
      <c r="O35" s="7">
        <f t="shared" si="7"/>
        <v>80.697000000000003</v>
      </c>
      <c r="P35" s="7">
        <f t="shared" si="7"/>
        <v>80.653000000000006</v>
      </c>
      <c r="Q35" s="7">
        <f t="shared" si="7"/>
        <v>81.441000000000003</v>
      </c>
      <c r="R35" s="7">
        <f t="shared" si="7"/>
        <v>80.936999999999998</v>
      </c>
      <c r="S35" s="7">
        <f t="shared" si="7"/>
        <v>81.441999999999993</v>
      </c>
      <c r="T35" s="8">
        <f t="shared" si="7"/>
        <v>81.070999999999998</v>
      </c>
      <c r="U35" s="42"/>
      <c r="V35" s="5">
        <v>13</v>
      </c>
      <c r="W35" s="25">
        <f t="shared" si="8"/>
        <v>1.5369999999999999</v>
      </c>
      <c r="X35" s="25">
        <f t="shared" si="8"/>
        <v>1.6950000000000001</v>
      </c>
      <c r="Y35" s="25">
        <f t="shared" si="8"/>
        <v>2.4780000000000002</v>
      </c>
      <c r="Z35" s="25">
        <f t="shared" si="8"/>
        <v>1.871</v>
      </c>
      <c r="AA35" s="25">
        <f t="shared" si="8"/>
        <v>1.89</v>
      </c>
      <c r="AB35" s="25">
        <f t="shared" si="8"/>
        <v>2.157</v>
      </c>
      <c r="AC35" s="25">
        <f t="shared" si="8"/>
        <v>1.524</v>
      </c>
      <c r="AD35" s="25">
        <f t="shared" si="8"/>
        <v>1.9379999999999999</v>
      </c>
      <c r="AE35" s="25">
        <f t="shared" si="8"/>
        <v>1.8680000000000001</v>
      </c>
      <c r="AF35" s="25">
        <f t="shared" si="8"/>
        <v>1.6559999999999999</v>
      </c>
      <c r="AG35" s="25">
        <f t="shared" si="8"/>
        <v>2.1059999999999999</v>
      </c>
      <c r="AH35" s="25">
        <f t="shared" si="8"/>
        <v>1.96</v>
      </c>
      <c r="AL35" s="42"/>
      <c r="AM35" s="42"/>
      <c r="AN35" s="42"/>
    </row>
    <row r="36" spans="1:40" x14ac:dyDescent="0.25">
      <c r="A36" s="1">
        <v>34</v>
      </c>
      <c r="B36" s="2">
        <v>80.941999999999993</v>
      </c>
      <c r="C36" s="2">
        <v>94.819000000000003</v>
      </c>
      <c r="D36" s="2">
        <v>175.89099999999999</v>
      </c>
      <c r="E36" s="2">
        <v>2.1480000000000001</v>
      </c>
      <c r="F36" s="2">
        <v>1.992</v>
      </c>
      <c r="H36" s="5">
        <v>14</v>
      </c>
      <c r="I36" s="28">
        <f t="shared" si="7"/>
        <v>81.126000000000005</v>
      </c>
      <c r="J36" s="7">
        <f t="shared" si="7"/>
        <v>81.174000000000007</v>
      </c>
      <c r="K36" s="7">
        <f t="shared" si="7"/>
        <v>81.206999999999994</v>
      </c>
      <c r="L36" s="7">
        <f t="shared" si="7"/>
        <v>81.004000000000005</v>
      </c>
      <c r="M36" s="7">
        <f t="shared" si="7"/>
        <v>81.123000000000005</v>
      </c>
      <c r="N36" s="7">
        <f t="shared" si="7"/>
        <v>81.096999999999994</v>
      </c>
      <c r="O36" s="7">
        <f t="shared" si="7"/>
        <v>80.587000000000003</v>
      </c>
      <c r="P36" s="7">
        <f t="shared" si="7"/>
        <v>81.117000000000004</v>
      </c>
      <c r="Q36" s="7">
        <f t="shared" si="7"/>
        <v>81.021000000000001</v>
      </c>
      <c r="R36" s="7">
        <f t="shared" si="7"/>
        <v>80.730999999999995</v>
      </c>
      <c r="S36" s="7">
        <f t="shared" si="7"/>
        <v>80.92</v>
      </c>
      <c r="T36" s="8">
        <f t="shared" si="7"/>
        <v>81.369</v>
      </c>
      <c r="U36" s="42"/>
      <c r="V36" s="5">
        <v>14</v>
      </c>
      <c r="W36" s="25">
        <f t="shared" si="8"/>
        <v>1.853</v>
      </c>
      <c r="X36" s="25">
        <f t="shared" si="8"/>
        <v>2.23</v>
      </c>
      <c r="Y36" s="25">
        <f t="shared" si="8"/>
        <v>1.9790000000000001</v>
      </c>
      <c r="Z36" s="25">
        <f t="shared" si="8"/>
        <v>1.8560000000000001</v>
      </c>
      <c r="AA36" s="25">
        <f t="shared" si="8"/>
        <v>1.673</v>
      </c>
      <c r="AB36" s="25">
        <f t="shared" si="8"/>
        <v>1.8380000000000001</v>
      </c>
      <c r="AC36" s="25">
        <f t="shared" si="8"/>
        <v>1.492</v>
      </c>
      <c r="AD36" s="25">
        <f t="shared" si="8"/>
        <v>2.0750000000000002</v>
      </c>
      <c r="AE36" s="25">
        <f t="shared" si="8"/>
        <v>2.0499999999999998</v>
      </c>
      <c r="AF36" s="25">
        <f t="shared" si="8"/>
        <v>2.1560000000000001</v>
      </c>
      <c r="AG36" s="25">
        <f t="shared" si="8"/>
        <v>1.9470000000000001</v>
      </c>
      <c r="AH36" s="25">
        <f t="shared" si="8"/>
        <v>1.992</v>
      </c>
      <c r="AL36" s="42"/>
      <c r="AM36" s="42"/>
      <c r="AN36" s="42"/>
    </row>
    <row r="37" spans="1:40" x14ac:dyDescent="0.25">
      <c r="A37" s="1">
        <v>35</v>
      </c>
      <c r="B37" s="2">
        <v>81.138000000000005</v>
      </c>
      <c r="C37" s="2">
        <v>94.593000000000004</v>
      </c>
      <c r="D37" s="2">
        <v>175.745</v>
      </c>
      <c r="E37" s="2">
        <v>1.518</v>
      </c>
      <c r="F37" s="2">
        <v>1.623</v>
      </c>
      <c r="H37" s="5">
        <v>15</v>
      </c>
      <c r="I37" s="28">
        <f t="shared" si="7"/>
        <v>80.650999999999996</v>
      </c>
      <c r="J37" s="7">
        <f t="shared" si="7"/>
        <v>81.504999999999995</v>
      </c>
      <c r="K37" s="7">
        <f t="shared" si="7"/>
        <v>81.290999999999997</v>
      </c>
      <c r="L37" s="7">
        <f t="shared" si="7"/>
        <v>80.873999999999995</v>
      </c>
      <c r="M37" s="7">
        <f t="shared" si="7"/>
        <v>80.938000000000002</v>
      </c>
      <c r="N37" s="7">
        <f t="shared" si="7"/>
        <v>80.926000000000002</v>
      </c>
      <c r="O37" s="7">
        <f t="shared" si="7"/>
        <v>80.796000000000006</v>
      </c>
      <c r="P37" s="7">
        <f t="shared" si="7"/>
        <v>81.275999999999996</v>
      </c>
      <c r="Q37" s="7">
        <f t="shared" si="7"/>
        <v>81.072000000000003</v>
      </c>
      <c r="R37" s="7">
        <f t="shared" si="7"/>
        <v>80.866</v>
      </c>
      <c r="S37" s="7">
        <f t="shared" si="7"/>
        <v>81.096000000000004</v>
      </c>
      <c r="T37" s="8">
        <f t="shared" si="7"/>
        <v>81.132000000000005</v>
      </c>
      <c r="U37" s="42"/>
      <c r="V37" s="5">
        <v>15</v>
      </c>
      <c r="W37" s="25">
        <f t="shared" si="8"/>
        <v>2.0910000000000002</v>
      </c>
      <c r="X37" s="25">
        <f t="shared" si="8"/>
        <v>2.17</v>
      </c>
      <c r="Y37" s="25">
        <f t="shared" si="8"/>
        <v>2.2029999999999998</v>
      </c>
      <c r="Z37" s="25">
        <f t="shared" si="8"/>
        <v>1.6020000000000001</v>
      </c>
      <c r="AA37" s="25">
        <f t="shared" si="8"/>
        <v>2.6579999999999999</v>
      </c>
      <c r="AB37" s="25">
        <f t="shared" si="8"/>
        <v>2.2669999999999999</v>
      </c>
      <c r="AC37" s="25">
        <f t="shared" si="8"/>
        <v>1.175</v>
      </c>
      <c r="AD37" s="25">
        <f t="shared" si="8"/>
        <v>2.0550000000000002</v>
      </c>
      <c r="AE37" s="25">
        <f t="shared" si="8"/>
        <v>1.94</v>
      </c>
      <c r="AF37" s="25">
        <f t="shared" si="8"/>
        <v>1.992</v>
      </c>
      <c r="AG37" s="25">
        <f t="shared" si="8"/>
        <v>1.9810000000000001</v>
      </c>
      <c r="AH37" s="25">
        <f t="shared" si="8"/>
        <v>2.2429999999999999</v>
      </c>
      <c r="AL37" s="42"/>
      <c r="AM37" s="42"/>
      <c r="AN37" s="42"/>
    </row>
    <row r="38" spans="1:40" x14ac:dyDescent="0.25">
      <c r="A38" s="1">
        <v>36</v>
      </c>
      <c r="B38" s="2">
        <v>81.048000000000002</v>
      </c>
      <c r="C38" s="2">
        <v>94.930999999999997</v>
      </c>
      <c r="D38" s="2">
        <v>175.98400000000001</v>
      </c>
      <c r="E38" s="2">
        <v>2.048</v>
      </c>
      <c r="F38" s="2">
        <v>1.879</v>
      </c>
      <c r="H38" s="5">
        <v>16</v>
      </c>
      <c r="I38" s="28">
        <f t="shared" si="7"/>
        <v>81.231999999999999</v>
      </c>
      <c r="J38" s="7">
        <f t="shared" si="7"/>
        <v>81.114999999999995</v>
      </c>
      <c r="K38" s="7">
        <f t="shared" si="7"/>
        <v>81.215000000000003</v>
      </c>
      <c r="L38" s="7">
        <f t="shared" si="7"/>
        <v>81.679000000000002</v>
      </c>
      <c r="M38" s="7">
        <f t="shared" si="7"/>
        <v>81.224999999999994</v>
      </c>
      <c r="N38" s="7">
        <f t="shared" si="7"/>
        <v>81.012</v>
      </c>
      <c r="O38" s="7">
        <f t="shared" si="7"/>
        <v>80.94</v>
      </c>
      <c r="P38" s="7">
        <f t="shared" si="7"/>
        <v>80.87</v>
      </c>
      <c r="Q38" s="7">
        <f t="shared" si="7"/>
        <v>80.932000000000002</v>
      </c>
      <c r="R38" s="7">
        <f t="shared" si="7"/>
        <v>81.108000000000004</v>
      </c>
      <c r="S38" s="7">
        <f t="shared" si="7"/>
        <v>81.331999999999994</v>
      </c>
      <c r="T38" s="8">
        <f t="shared" si="7"/>
        <v>81.227999999999994</v>
      </c>
      <c r="U38" s="42"/>
      <c r="V38" s="5">
        <v>16</v>
      </c>
      <c r="W38" s="25">
        <f t="shared" si="8"/>
        <v>2.1890000000000001</v>
      </c>
      <c r="X38" s="25">
        <f t="shared" si="8"/>
        <v>1.573</v>
      </c>
      <c r="Y38" s="25">
        <f t="shared" si="8"/>
        <v>2.7440000000000002</v>
      </c>
      <c r="Z38" s="25">
        <f t="shared" si="8"/>
        <v>2.2429999999999999</v>
      </c>
      <c r="AA38" s="25">
        <f t="shared" si="8"/>
        <v>2.262</v>
      </c>
      <c r="AB38" s="25">
        <f t="shared" si="8"/>
        <v>1.766</v>
      </c>
      <c r="AC38" s="25">
        <f t="shared" si="8"/>
        <v>1.8240000000000001</v>
      </c>
      <c r="AD38" s="25">
        <f t="shared" si="8"/>
        <v>2.048</v>
      </c>
      <c r="AE38" s="25">
        <f t="shared" si="8"/>
        <v>1.8919999999999999</v>
      </c>
      <c r="AF38" s="25">
        <f t="shared" si="8"/>
        <v>2.4049999999999998</v>
      </c>
      <c r="AG38" s="25">
        <f t="shared" si="8"/>
        <v>2.169</v>
      </c>
      <c r="AH38" s="25">
        <f t="shared" si="8"/>
        <v>2.294</v>
      </c>
      <c r="AL38" s="42"/>
      <c r="AM38" s="50"/>
      <c r="AN38" s="50"/>
    </row>
    <row r="39" spans="1:40" x14ac:dyDescent="0.25">
      <c r="A39" s="1">
        <v>37</v>
      </c>
      <c r="B39" s="2">
        <v>80.983000000000004</v>
      </c>
      <c r="C39" s="2">
        <v>94.972999999999999</v>
      </c>
      <c r="D39" s="2">
        <v>175.95500000000001</v>
      </c>
      <c r="E39" s="2">
        <v>2.1579999999999999</v>
      </c>
      <c r="F39" s="2">
        <v>1.7390000000000001</v>
      </c>
      <c r="H39" s="5">
        <v>17</v>
      </c>
      <c r="I39" s="28">
        <f t="shared" si="7"/>
        <v>80.498000000000005</v>
      </c>
      <c r="J39" s="7">
        <f t="shared" si="7"/>
        <v>81.570999999999998</v>
      </c>
      <c r="K39" s="7">
        <f t="shared" si="7"/>
        <v>81.162000000000006</v>
      </c>
      <c r="L39" s="7">
        <f t="shared" si="7"/>
        <v>81.453000000000003</v>
      </c>
      <c r="M39" s="7">
        <f t="shared" si="7"/>
        <v>81.146000000000001</v>
      </c>
      <c r="N39" s="7">
        <f t="shared" si="7"/>
        <v>81.201999999999998</v>
      </c>
      <c r="O39" s="7">
        <f t="shared" si="7"/>
        <v>80.853999999999999</v>
      </c>
      <c r="P39" s="7">
        <f t="shared" si="7"/>
        <v>81.221000000000004</v>
      </c>
      <c r="Q39" s="7">
        <f t="shared" si="7"/>
        <v>81.221999999999994</v>
      </c>
      <c r="R39" s="7">
        <f t="shared" si="7"/>
        <v>80.844999999999999</v>
      </c>
      <c r="S39" s="7">
        <f t="shared" si="7"/>
        <v>81.058000000000007</v>
      </c>
      <c r="T39" s="8">
        <f t="shared" si="7"/>
        <v>80.986999999999995</v>
      </c>
      <c r="U39" s="42"/>
      <c r="V39" s="5">
        <v>17</v>
      </c>
      <c r="W39" s="25">
        <f t="shared" si="8"/>
        <v>2.1309999999999998</v>
      </c>
      <c r="X39" s="25">
        <f t="shared" si="8"/>
        <v>2.0459999999999998</v>
      </c>
      <c r="Y39" s="25">
        <f t="shared" si="8"/>
        <v>2.2879999999999998</v>
      </c>
      <c r="Z39" s="25">
        <f t="shared" si="8"/>
        <v>2.0030000000000001</v>
      </c>
      <c r="AA39" s="25">
        <f t="shared" si="8"/>
        <v>2.306</v>
      </c>
      <c r="AB39" s="25">
        <f t="shared" si="8"/>
        <v>1.8839999999999999</v>
      </c>
      <c r="AC39" s="25">
        <f t="shared" si="8"/>
        <v>1.2969999999999999</v>
      </c>
      <c r="AD39" s="25">
        <f t="shared" si="8"/>
        <v>2.1629999999999998</v>
      </c>
      <c r="AE39" s="25">
        <f t="shared" si="8"/>
        <v>2.08</v>
      </c>
      <c r="AF39" s="25">
        <f t="shared" si="8"/>
        <v>2.1419999999999999</v>
      </c>
      <c r="AG39" s="25">
        <f t="shared" si="8"/>
        <v>2.7109999999999999</v>
      </c>
      <c r="AH39" s="25">
        <f t="shared" si="8"/>
        <v>2.4</v>
      </c>
      <c r="AL39" s="50"/>
      <c r="AM39" s="50"/>
      <c r="AN39" s="50"/>
    </row>
    <row r="40" spans="1:40" x14ac:dyDescent="0.25">
      <c r="A40" s="1">
        <v>38</v>
      </c>
      <c r="B40" s="2">
        <v>80.653000000000006</v>
      </c>
      <c r="C40" s="2">
        <v>95.063000000000002</v>
      </c>
      <c r="D40" s="2">
        <v>175.73400000000001</v>
      </c>
      <c r="E40" s="2">
        <v>1.9379999999999999</v>
      </c>
      <c r="F40" s="2">
        <v>1.835</v>
      </c>
      <c r="H40" s="5">
        <v>18</v>
      </c>
      <c r="I40" s="28">
        <f t="shared" si="7"/>
        <v>81.363</v>
      </c>
      <c r="J40" s="7">
        <f t="shared" si="7"/>
        <v>81.141000000000005</v>
      </c>
      <c r="K40" s="7">
        <f t="shared" si="7"/>
        <v>81.141000000000005</v>
      </c>
      <c r="L40" s="7">
        <f t="shared" si="7"/>
        <v>80.965999999999994</v>
      </c>
      <c r="M40" s="7">
        <f t="shared" si="7"/>
        <v>80.778000000000006</v>
      </c>
      <c r="N40" s="7">
        <f t="shared" si="7"/>
        <v>81.194999999999993</v>
      </c>
      <c r="O40" s="7">
        <f t="shared" si="7"/>
        <v>81.259</v>
      </c>
      <c r="P40" s="7">
        <f t="shared" si="7"/>
        <v>81.206999999999994</v>
      </c>
      <c r="Q40" s="7">
        <f t="shared" si="7"/>
        <v>81.194000000000003</v>
      </c>
      <c r="R40" s="7">
        <f t="shared" si="7"/>
        <v>80.507000000000005</v>
      </c>
      <c r="S40" s="7">
        <f t="shared" si="7"/>
        <v>81.275000000000006</v>
      </c>
      <c r="T40" s="8">
        <f t="shared" si="7"/>
        <v>81.03</v>
      </c>
      <c r="U40" s="42"/>
      <c r="V40" s="5">
        <v>18</v>
      </c>
      <c r="W40" s="25">
        <f t="shared" si="8"/>
        <v>2.0569999999999999</v>
      </c>
      <c r="X40" s="25">
        <f t="shared" si="8"/>
        <v>1.857</v>
      </c>
      <c r="Y40" s="25">
        <f t="shared" si="8"/>
        <v>2.2879999999999998</v>
      </c>
      <c r="Z40" s="25">
        <f t="shared" si="8"/>
        <v>2.113</v>
      </c>
      <c r="AA40" s="25">
        <f t="shared" si="8"/>
        <v>2.3540000000000001</v>
      </c>
      <c r="AB40" s="25">
        <f t="shared" si="8"/>
        <v>2.3769999999999998</v>
      </c>
      <c r="AC40" s="25">
        <f t="shared" si="8"/>
        <v>1.6259999999999999</v>
      </c>
      <c r="AD40" s="25">
        <f t="shared" si="8"/>
        <v>2.1850000000000001</v>
      </c>
      <c r="AE40" s="25">
        <f t="shared" si="8"/>
        <v>2.65</v>
      </c>
      <c r="AF40" s="25">
        <f t="shared" si="8"/>
        <v>2.867</v>
      </c>
      <c r="AG40" s="25">
        <f t="shared" si="8"/>
        <v>2.0139999999999998</v>
      </c>
      <c r="AH40" s="25">
        <f t="shared" si="8"/>
        <v>2.2890000000000001</v>
      </c>
      <c r="AL40" s="50"/>
      <c r="AM40" s="50"/>
      <c r="AN40" s="50"/>
    </row>
    <row r="41" spans="1:40" x14ac:dyDescent="0.25">
      <c r="A41" s="1">
        <v>39</v>
      </c>
      <c r="B41" s="2">
        <v>81.117000000000004</v>
      </c>
      <c r="C41" s="2">
        <v>94.899000000000001</v>
      </c>
      <c r="D41" s="2">
        <v>176.04900000000001</v>
      </c>
      <c r="E41" s="2">
        <v>2.0750000000000002</v>
      </c>
      <c r="F41" s="2">
        <v>1.587</v>
      </c>
      <c r="H41" s="5">
        <v>19</v>
      </c>
      <c r="I41" s="28">
        <f t="shared" si="7"/>
        <v>81.057000000000002</v>
      </c>
      <c r="J41" s="7">
        <f t="shared" si="7"/>
        <v>81.031000000000006</v>
      </c>
      <c r="K41" s="7">
        <f t="shared" si="7"/>
        <v>81.528999999999996</v>
      </c>
      <c r="L41" s="7">
        <f t="shared" si="7"/>
        <v>80.841999999999999</v>
      </c>
      <c r="M41" s="7">
        <f t="shared" si="7"/>
        <v>81.134</v>
      </c>
      <c r="N41" s="7">
        <f t="shared" si="7"/>
        <v>80.968999999999994</v>
      </c>
      <c r="O41" s="7">
        <f t="shared" si="7"/>
        <v>81.275000000000006</v>
      </c>
      <c r="P41" s="7">
        <f t="shared" si="7"/>
        <v>81.131</v>
      </c>
      <c r="Q41" s="7">
        <f t="shared" si="7"/>
        <v>81.335999999999999</v>
      </c>
      <c r="R41" s="7">
        <f t="shared" si="7"/>
        <v>81.302000000000007</v>
      </c>
      <c r="S41" s="7">
        <f t="shared" si="7"/>
        <v>81.293000000000006</v>
      </c>
      <c r="T41" s="8">
        <f t="shared" si="7"/>
        <v>81.174999999999997</v>
      </c>
      <c r="U41" s="42"/>
      <c r="V41" s="5">
        <v>19</v>
      </c>
      <c r="W41" s="25">
        <f t="shared" si="8"/>
        <v>2.4950000000000001</v>
      </c>
      <c r="X41" s="25">
        <f t="shared" si="8"/>
        <v>2.4300000000000002</v>
      </c>
      <c r="Y41" s="25">
        <f t="shared" si="8"/>
        <v>2.2799999999999998</v>
      </c>
      <c r="Z41" s="25">
        <f t="shared" si="8"/>
        <v>2.1629999999999998</v>
      </c>
      <c r="AA41" s="25">
        <f t="shared" si="8"/>
        <v>1.988</v>
      </c>
      <c r="AB41" s="25">
        <f t="shared" si="8"/>
        <v>1.591</v>
      </c>
      <c r="AC41" s="25">
        <f t="shared" si="8"/>
        <v>1.5109999999999999</v>
      </c>
      <c r="AD41" s="25">
        <f t="shared" si="8"/>
        <v>1.9570000000000001</v>
      </c>
      <c r="AE41" s="25">
        <f t="shared" si="8"/>
        <v>2.706</v>
      </c>
      <c r="AF41" s="25">
        <f t="shared" si="8"/>
        <v>2.3149999999999999</v>
      </c>
      <c r="AG41" s="25">
        <f t="shared" si="8"/>
        <v>2.2749999999999999</v>
      </c>
      <c r="AH41" s="25">
        <f t="shared" si="8"/>
        <v>1.948</v>
      </c>
      <c r="AL41" s="50"/>
      <c r="AM41" s="50"/>
      <c r="AN41" s="50"/>
    </row>
    <row r="42" spans="1:40" x14ac:dyDescent="0.25">
      <c r="A42" s="1">
        <v>40</v>
      </c>
      <c r="B42" s="2">
        <v>81.275999999999996</v>
      </c>
      <c r="C42" s="2">
        <v>95.156000000000006</v>
      </c>
      <c r="D42" s="2">
        <v>176.42</v>
      </c>
      <c r="E42" s="2">
        <v>2.0550000000000002</v>
      </c>
      <c r="F42" s="2">
        <v>1.516</v>
      </c>
      <c r="H42" s="5">
        <v>20</v>
      </c>
      <c r="I42" s="28">
        <f t="shared" si="7"/>
        <v>80.856999999999999</v>
      </c>
      <c r="J42" s="7">
        <f t="shared" si="7"/>
        <v>81.197000000000003</v>
      </c>
      <c r="K42" s="7">
        <f t="shared" si="7"/>
        <v>81.376999999999995</v>
      </c>
      <c r="L42" s="7">
        <f t="shared" si="7"/>
        <v>81.472999999999999</v>
      </c>
      <c r="M42" s="7">
        <f t="shared" si="7"/>
        <v>81.033000000000001</v>
      </c>
      <c r="N42" s="7">
        <f t="shared" si="7"/>
        <v>81.17</v>
      </c>
      <c r="O42" s="7">
        <f t="shared" si="7"/>
        <v>81.033000000000001</v>
      </c>
      <c r="P42" s="7">
        <f t="shared" si="7"/>
        <v>81.144999999999996</v>
      </c>
      <c r="Q42" s="7">
        <f t="shared" si="7"/>
        <v>80.921000000000006</v>
      </c>
      <c r="R42" s="7">
        <f t="shared" si="7"/>
        <v>81.319000000000003</v>
      </c>
      <c r="S42" s="7">
        <f t="shared" si="7"/>
        <v>81.326999999999998</v>
      </c>
      <c r="T42" s="8">
        <f t="shared" si="7"/>
        <v>81.102000000000004</v>
      </c>
      <c r="U42" s="42"/>
      <c r="V42" s="5">
        <v>20</v>
      </c>
      <c r="W42" s="25">
        <f t="shared" si="8"/>
        <v>2.1680000000000001</v>
      </c>
      <c r="X42" s="25">
        <f t="shared" si="8"/>
        <v>1.76</v>
      </c>
      <c r="Y42" s="25">
        <f t="shared" si="8"/>
        <v>2.278</v>
      </c>
      <c r="Z42" s="25">
        <f t="shared" si="8"/>
        <v>1.9139999999999999</v>
      </c>
      <c r="AA42" s="25">
        <f t="shared" si="8"/>
        <v>1.7230000000000001</v>
      </c>
      <c r="AB42" s="25">
        <f t="shared" si="8"/>
        <v>2.17</v>
      </c>
      <c r="AC42" s="25">
        <f t="shared" si="8"/>
        <v>1.427</v>
      </c>
      <c r="AD42" s="25">
        <f t="shared" si="8"/>
        <v>1.677</v>
      </c>
      <c r="AE42" s="25">
        <f t="shared" si="8"/>
        <v>1.948</v>
      </c>
      <c r="AF42" s="25">
        <f t="shared" si="8"/>
        <v>2.2400000000000002</v>
      </c>
      <c r="AG42" s="25">
        <f t="shared" si="8"/>
        <v>2.883</v>
      </c>
      <c r="AH42" s="25">
        <f t="shared" si="8"/>
        <v>2.6389999999999998</v>
      </c>
      <c r="AL42" s="50"/>
      <c r="AM42" s="50"/>
      <c r="AN42" s="50"/>
    </row>
    <row r="43" spans="1:40" x14ac:dyDescent="0.25">
      <c r="A43" s="1">
        <v>41</v>
      </c>
      <c r="B43" s="2">
        <v>80.87</v>
      </c>
      <c r="C43" s="2">
        <v>94.878</v>
      </c>
      <c r="D43" s="2">
        <v>175.846</v>
      </c>
      <c r="E43" s="2">
        <v>2.048</v>
      </c>
      <c r="F43" s="2">
        <v>2.4740000000000002</v>
      </c>
      <c r="H43" s="5">
        <v>21</v>
      </c>
      <c r="I43" s="28">
        <f t="shared" si="7"/>
        <v>81.126999999999995</v>
      </c>
      <c r="J43" s="7">
        <f t="shared" si="7"/>
        <v>81.085999999999999</v>
      </c>
      <c r="K43" s="7">
        <f t="shared" si="7"/>
        <v>81.131</v>
      </c>
      <c r="L43" s="7">
        <f t="shared" si="7"/>
        <v>81.272999999999996</v>
      </c>
      <c r="M43" s="7">
        <f t="shared" si="7"/>
        <v>80.936000000000007</v>
      </c>
      <c r="N43" s="7">
        <f t="shared" si="7"/>
        <v>80.947000000000003</v>
      </c>
      <c r="O43" s="7">
        <f t="shared" si="7"/>
        <v>80.367999999999995</v>
      </c>
      <c r="P43" s="7">
        <f t="shared" si="7"/>
        <v>81.396000000000001</v>
      </c>
      <c r="Q43" s="7">
        <f t="shared" si="7"/>
        <v>81.5</v>
      </c>
      <c r="R43" s="7">
        <f t="shared" si="7"/>
        <v>81.358000000000004</v>
      </c>
      <c r="S43" s="7">
        <f t="shared" si="7"/>
        <v>81.248000000000005</v>
      </c>
      <c r="T43" s="8">
        <f t="shared" si="7"/>
        <v>81.156999999999996</v>
      </c>
      <c r="U43" s="42"/>
      <c r="V43" s="5">
        <v>21</v>
      </c>
      <c r="W43" s="25">
        <f t="shared" si="8"/>
        <v>1.712</v>
      </c>
      <c r="X43" s="25">
        <f t="shared" si="8"/>
        <v>1.865</v>
      </c>
      <c r="Y43" s="25">
        <f t="shared" si="8"/>
        <v>2.036</v>
      </c>
      <c r="Z43" s="25">
        <f t="shared" si="8"/>
        <v>1.8320000000000001</v>
      </c>
      <c r="AA43" s="25">
        <f t="shared" si="8"/>
        <v>1.7829999999999999</v>
      </c>
      <c r="AB43" s="25">
        <f t="shared" si="8"/>
        <v>1.69</v>
      </c>
      <c r="AC43" s="25">
        <f t="shared" si="8"/>
        <v>1.304</v>
      </c>
      <c r="AD43" s="25">
        <f t="shared" si="8"/>
        <v>1.62</v>
      </c>
      <c r="AE43" s="25">
        <f t="shared" si="8"/>
        <v>2.0379999999999998</v>
      </c>
      <c r="AF43" s="25">
        <f t="shared" si="8"/>
        <v>2.5129999999999999</v>
      </c>
      <c r="AG43" s="25">
        <f t="shared" si="8"/>
        <v>2.456</v>
      </c>
      <c r="AH43" s="25">
        <f t="shared" si="8"/>
        <v>2.3340000000000001</v>
      </c>
      <c r="AL43" s="50"/>
    </row>
    <row r="44" spans="1:40" x14ac:dyDescent="0.25">
      <c r="A44" s="1">
        <v>42</v>
      </c>
      <c r="B44" s="2">
        <v>81.221000000000004</v>
      </c>
      <c r="C44" s="2">
        <v>95.018000000000001</v>
      </c>
      <c r="D44" s="2">
        <v>176.24199999999999</v>
      </c>
      <c r="E44" s="2">
        <v>2.1629999999999998</v>
      </c>
      <c r="F44" s="2">
        <v>1.91</v>
      </c>
      <c r="H44" s="5">
        <v>22</v>
      </c>
      <c r="I44" s="28">
        <f t="shared" si="7"/>
        <v>80.709999999999994</v>
      </c>
      <c r="J44" s="7">
        <f t="shared" si="7"/>
        <v>81.292000000000002</v>
      </c>
      <c r="K44" s="7">
        <f t="shared" si="7"/>
        <v>81.367000000000004</v>
      </c>
      <c r="L44" s="7">
        <f t="shared" si="7"/>
        <v>81.23</v>
      </c>
      <c r="M44" s="7">
        <f t="shared" si="7"/>
        <v>81.272999999999996</v>
      </c>
      <c r="N44" s="7">
        <f t="shared" si="7"/>
        <v>81.02</v>
      </c>
      <c r="O44" s="7">
        <f t="shared" si="7"/>
        <v>81.111000000000004</v>
      </c>
      <c r="P44" s="7">
        <f t="shared" si="7"/>
        <v>81.442999999999998</v>
      </c>
      <c r="Q44" s="7">
        <f t="shared" si="7"/>
        <v>81.286000000000001</v>
      </c>
      <c r="R44" s="7">
        <f t="shared" si="7"/>
        <v>80.936000000000007</v>
      </c>
      <c r="S44" s="7">
        <f t="shared" si="7"/>
        <v>81.296999999999997</v>
      </c>
      <c r="T44" s="8">
        <f t="shared" si="7"/>
        <v>81.293999999999997</v>
      </c>
      <c r="U44" s="42"/>
      <c r="V44" s="5">
        <v>22</v>
      </c>
      <c r="W44" s="25">
        <f t="shared" si="8"/>
        <v>2.246</v>
      </c>
      <c r="X44" s="25">
        <f t="shared" si="8"/>
        <v>1.81</v>
      </c>
      <c r="Y44" s="25">
        <f t="shared" si="8"/>
        <v>2.0720000000000001</v>
      </c>
      <c r="Z44" s="25">
        <f t="shared" si="8"/>
        <v>1.7130000000000001</v>
      </c>
      <c r="AA44" s="25">
        <f t="shared" si="8"/>
        <v>2.2080000000000002</v>
      </c>
      <c r="AB44" s="25">
        <f t="shared" si="8"/>
        <v>1.4750000000000001</v>
      </c>
      <c r="AC44" s="25">
        <f t="shared" si="8"/>
        <v>1.339</v>
      </c>
      <c r="AD44" s="25">
        <f t="shared" si="8"/>
        <v>1.974</v>
      </c>
      <c r="AE44" s="25">
        <f t="shared" si="8"/>
        <v>2.4670000000000001</v>
      </c>
      <c r="AF44" s="25">
        <f t="shared" si="8"/>
        <v>2.052</v>
      </c>
      <c r="AG44" s="25">
        <f t="shared" si="8"/>
        <v>2.2149999999999999</v>
      </c>
      <c r="AH44" s="25">
        <f t="shared" si="8"/>
        <v>2.4279999999999999</v>
      </c>
      <c r="AM44" s="49"/>
      <c r="AN44" s="49"/>
    </row>
    <row r="45" spans="1:40" x14ac:dyDescent="0.25">
      <c r="A45" s="1">
        <v>43</v>
      </c>
      <c r="B45" s="2">
        <v>81.206999999999994</v>
      </c>
      <c r="C45" s="2">
        <v>94.775000000000006</v>
      </c>
      <c r="D45" s="2">
        <v>176.01900000000001</v>
      </c>
      <c r="E45" s="2">
        <v>2.1850000000000001</v>
      </c>
      <c r="F45" s="2">
        <v>2.1070000000000002</v>
      </c>
      <c r="H45" s="5">
        <v>23</v>
      </c>
      <c r="I45" s="28">
        <f t="shared" si="7"/>
        <v>81.307000000000002</v>
      </c>
      <c r="J45" s="7">
        <f t="shared" si="7"/>
        <v>81.790000000000006</v>
      </c>
      <c r="K45" s="7">
        <f t="shared" si="7"/>
        <v>81.647999999999996</v>
      </c>
      <c r="L45" s="7">
        <f t="shared" si="7"/>
        <v>81.08</v>
      </c>
      <c r="M45" s="7">
        <f t="shared" si="7"/>
        <v>81.224999999999994</v>
      </c>
      <c r="N45" s="7">
        <f t="shared" si="7"/>
        <v>81.328000000000003</v>
      </c>
      <c r="O45" s="7">
        <f t="shared" si="7"/>
        <v>81.114999999999995</v>
      </c>
      <c r="P45" s="7">
        <f t="shared" si="7"/>
        <v>81.087000000000003</v>
      </c>
      <c r="Q45" s="7">
        <f t="shared" si="7"/>
        <v>81.328000000000003</v>
      </c>
      <c r="R45" s="7">
        <f t="shared" si="7"/>
        <v>80.897000000000006</v>
      </c>
      <c r="S45" s="7">
        <f t="shared" si="7"/>
        <v>81.510000000000005</v>
      </c>
      <c r="T45" s="8">
        <f t="shared" si="7"/>
        <v>81.548000000000002</v>
      </c>
      <c r="U45" s="42"/>
      <c r="V45" s="5">
        <v>23</v>
      </c>
      <c r="W45" s="25">
        <f t="shared" si="8"/>
        <v>2.008</v>
      </c>
      <c r="X45" s="25">
        <f t="shared" si="8"/>
        <v>1.9830000000000001</v>
      </c>
      <c r="Y45" s="25">
        <f t="shared" si="8"/>
        <v>2.0579999999999998</v>
      </c>
      <c r="Z45" s="25">
        <f t="shared" si="8"/>
        <v>1.702</v>
      </c>
      <c r="AA45" s="25">
        <f t="shared" si="8"/>
        <v>1.831</v>
      </c>
      <c r="AB45" s="25">
        <f t="shared" si="8"/>
        <v>2.375</v>
      </c>
      <c r="AC45" s="25">
        <f t="shared" si="8"/>
        <v>1.379</v>
      </c>
      <c r="AD45" s="25">
        <f t="shared" si="8"/>
        <v>2.149</v>
      </c>
      <c r="AE45" s="25">
        <f t="shared" si="8"/>
        <v>1.93</v>
      </c>
      <c r="AF45" s="25">
        <f t="shared" si="8"/>
        <v>2.33</v>
      </c>
      <c r="AG45" s="25">
        <f t="shared" si="8"/>
        <v>2.036</v>
      </c>
      <c r="AH45" s="25">
        <f t="shared" si="8"/>
        <v>2.0310000000000001</v>
      </c>
      <c r="AL45" s="49"/>
      <c r="AM45" s="42"/>
      <c r="AN45" s="42"/>
    </row>
    <row r="46" spans="1:40" x14ac:dyDescent="0.25">
      <c r="A46" s="1">
        <v>44</v>
      </c>
      <c r="B46" s="2">
        <v>81.131</v>
      </c>
      <c r="C46" s="2">
        <v>94.899000000000001</v>
      </c>
      <c r="D46" s="2">
        <v>176.04400000000001</v>
      </c>
      <c r="E46" s="2">
        <v>1.9570000000000001</v>
      </c>
      <c r="F46" s="2">
        <v>2.0139999999999998</v>
      </c>
      <c r="H46" s="5">
        <v>24</v>
      </c>
      <c r="I46" s="28">
        <f t="shared" si="7"/>
        <v>80.884</v>
      </c>
      <c r="J46" s="7">
        <f t="shared" si="7"/>
        <v>81.349999999999994</v>
      </c>
      <c r="K46" s="7">
        <f t="shared" si="7"/>
        <v>81.153999999999996</v>
      </c>
      <c r="L46" s="7">
        <f t="shared" si="7"/>
        <v>81.341999999999999</v>
      </c>
      <c r="M46" s="7">
        <f t="shared" si="7"/>
        <v>81.906999999999996</v>
      </c>
      <c r="N46" s="7">
        <f t="shared" si="7"/>
        <v>80.894999999999996</v>
      </c>
      <c r="O46" s="7">
        <f t="shared" si="7"/>
        <v>81.364999999999995</v>
      </c>
      <c r="P46" s="7">
        <f t="shared" si="7"/>
        <v>80.905000000000001</v>
      </c>
      <c r="Q46" s="7">
        <f t="shared" si="7"/>
        <v>81.314999999999998</v>
      </c>
      <c r="R46" s="7">
        <f t="shared" si="7"/>
        <v>81.174999999999997</v>
      </c>
      <c r="S46" s="7">
        <f t="shared" si="7"/>
        <v>81.442999999999998</v>
      </c>
      <c r="T46" s="8">
        <f t="shared" si="7"/>
        <v>81.230999999999995</v>
      </c>
      <c r="U46" s="42"/>
      <c r="V46" s="5">
        <v>24</v>
      </c>
      <c r="W46" s="25">
        <f t="shared" si="8"/>
        <v>1.978</v>
      </c>
      <c r="X46" s="25">
        <f t="shared" si="8"/>
        <v>1.796</v>
      </c>
      <c r="Y46" s="25">
        <f t="shared" si="8"/>
        <v>1.9790000000000001</v>
      </c>
      <c r="Z46" s="25">
        <f t="shared" si="8"/>
        <v>1.968</v>
      </c>
      <c r="AA46" s="25">
        <f t="shared" si="8"/>
        <v>1.86</v>
      </c>
      <c r="AB46" s="25">
        <f t="shared" si="8"/>
        <v>2.0680000000000001</v>
      </c>
      <c r="AC46" s="25">
        <f t="shared" si="8"/>
        <v>1.611</v>
      </c>
      <c r="AD46" s="25">
        <f t="shared" si="8"/>
        <v>2.222</v>
      </c>
      <c r="AE46" s="25">
        <f t="shared" si="8"/>
        <v>2.528</v>
      </c>
      <c r="AF46" s="25">
        <f t="shared" si="8"/>
        <v>1.79</v>
      </c>
      <c r="AG46" s="25">
        <f t="shared" si="8"/>
        <v>1.6579999999999999</v>
      </c>
      <c r="AH46" s="25">
        <f t="shared" si="8"/>
        <v>2.637</v>
      </c>
      <c r="AL46" s="42"/>
      <c r="AM46" s="42"/>
      <c r="AN46" s="42"/>
    </row>
    <row r="47" spans="1:40" x14ac:dyDescent="0.25">
      <c r="A47" s="1">
        <v>45</v>
      </c>
      <c r="B47" s="2">
        <v>81.144999999999996</v>
      </c>
      <c r="C47" s="2">
        <v>94.656000000000006</v>
      </c>
      <c r="D47" s="2">
        <v>175.72</v>
      </c>
      <c r="E47" s="2">
        <v>1.677</v>
      </c>
      <c r="F47" s="2">
        <v>1.627</v>
      </c>
      <c r="H47" s="6">
        <v>25</v>
      </c>
      <c r="I47" s="29">
        <f t="shared" si="7"/>
        <v>81.046999999999997</v>
      </c>
      <c r="J47" s="9">
        <f t="shared" si="7"/>
        <v>81.346999999999994</v>
      </c>
      <c r="K47" s="9">
        <f t="shared" si="7"/>
        <v>81.352999999999994</v>
      </c>
      <c r="L47" s="9">
        <f t="shared" si="7"/>
        <v>81.489999999999995</v>
      </c>
      <c r="M47" s="9">
        <f t="shared" si="7"/>
        <v>81.305999999999997</v>
      </c>
      <c r="N47" s="9">
        <f t="shared" si="7"/>
        <v>81.069000000000003</v>
      </c>
      <c r="O47" s="9">
        <f t="shared" si="7"/>
        <v>81.114999999999995</v>
      </c>
      <c r="P47" s="9">
        <f t="shared" si="7"/>
        <v>81.204999999999998</v>
      </c>
      <c r="Q47" s="9">
        <f t="shared" si="7"/>
        <v>81.418000000000006</v>
      </c>
      <c r="R47" s="9">
        <f t="shared" si="7"/>
        <v>81.924000000000007</v>
      </c>
      <c r="S47" s="9">
        <f t="shared" si="7"/>
        <v>81.507999999999996</v>
      </c>
      <c r="T47" s="10">
        <f t="shared" si="7"/>
        <v>81.331000000000003</v>
      </c>
      <c r="U47" s="42"/>
      <c r="V47" s="6">
        <v>25</v>
      </c>
      <c r="W47" s="25">
        <f t="shared" si="8"/>
        <v>2.323</v>
      </c>
      <c r="X47" s="25">
        <f t="shared" si="8"/>
        <v>2.1190000000000002</v>
      </c>
      <c r="Y47" s="25">
        <f t="shared" si="8"/>
        <v>1.9</v>
      </c>
      <c r="Z47" s="25">
        <f t="shared" si="8"/>
        <v>1.9990000000000001</v>
      </c>
      <c r="AA47" s="25">
        <f t="shared" si="8"/>
        <v>2.0739999999999998</v>
      </c>
      <c r="AB47" s="25">
        <f t="shared" si="8"/>
        <v>1.758</v>
      </c>
      <c r="AC47" s="25">
        <f t="shared" si="8"/>
        <v>1.649</v>
      </c>
      <c r="AD47" s="25">
        <f t="shared" si="8"/>
        <v>1.9390000000000001</v>
      </c>
      <c r="AE47" s="25">
        <f t="shared" si="8"/>
        <v>2.3130000000000002</v>
      </c>
      <c r="AF47" s="25">
        <f t="shared" si="8"/>
        <v>2.04</v>
      </c>
      <c r="AG47" s="25">
        <f t="shared" si="8"/>
        <v>1.962</v>
      </c>
      <c r="AH47" s="25">
        <f t="shared" si="8"/>
        <v>2.7890000000000001</v>
      </c>
      <c r="AL47" s="42"/>
      <c r="AM47" s="42"/>
      <c r="AN47" s="42"/>
    </row>
    <row r="48" spans="1:40" x14ac:dyDescent="0.25">
      <c r="A48" s="1">
        <v>46</v>
      </c>
      <c r="B48" s="2">
        <v>81.396000000000001</v>
      </c>
      <c r="C48" s="2">
        <v>94.754999999999995</v>
      </c>
      <c r="D48" s="2">
        <v>176.065</v>
      </c>
      <c r="E48" s="2">
        <v>1.62</v>
      </c>
      <c r="F48" s="2">
        <v>2.0409999999999999</v>
      </c>
      <c r="H48" s="22" t="s">
        <v>0</v>
      </c>
      <c r="I48" s="13">
        <f>AVERAGE(I23:I47)</f>
        <v>81.003640000000004</v>
      </c>
      <c r="J48" s="14">
        <f t="shared" ref="J48:T48" si="9">AVERAGE(J23:J47)</f>
        <v>81.280399999999986</v>
      </c>
      <c r="K48" s="14">
        <f t="shared" si="9"/>
        <v>81.261119999999991</v>
      </c>
      <c r="L48" s="14">
        <f t="shared" si="9"/>
        <v>81.30019999999999</v>
      </c>
      <c r="M48" s="14">
        <f t="shared" si="9"/>
        <v>81.154679999999985</v>
      </c>
      <c r="N48" s="14">
        <f t="shared" si="9"/>
        <v>81.018919999999994</v>
      </c>
      <c r="O48" s="14">
        <f t="shared" si="9"/>
        <v>80.924920000000014</v>
      </c>
      <c r="P48" s="14">
        <f t="shared" si="9"/>
        <v>81.125199999999992</v>
      </c>
      <c r="Q48" s="14">
        <f t="shared" si="9"/>
        <v>81.241640000000004</v>
      </c>
      <c r="R48" s="14">
        <f t="shared" si="9"/>
        <v>81.179359999999988</v>
      </c>
      <c r="S48" s="14">
        <f t="shared" si="9"/>
        <v>81.267680000000013</v>
      </c>
      <c r="T48" s="15">
        <f t="shared" si="9"/>
        <v>81.199119999999994</v>
      </c>
      <c r="U48" s="50"/>
      <c r="V48" s="22" t="s">
        <v>0</v>
      </c>
      <c r="W48" s="13">
        <f>AVERAGE(W23:W47)</f>
        <v>2.0591200000000005</v>
      </c>
      <c r="X48" s="14">
        <f t="shared" ref="X48:AH48" si="10">AVERAGE(X23:X47)</f>
        <v>2.0218400000000001</v>
      </c>
      <c r="Y48" s="14">
        <f t="shared" si="10"/>
        <v>2.2088399999999999</v>
      </c>
      <c r="Z48" s="14">
        <f t="shared" si="10"/>
        <v>1.9353600000000002</v>
      </c>
      <c r="AA48" s="14">
        <f t="shared" si="10"/>
        <v>2.0016400000000001</v>
      </c>
      <c r="AB48" s="14">
        <f t="shared" si="10"/>
        <v>1.9157200000000003</v>
      </c>
      <c r="AC48" s="14">
        <f t="shared" si="10"/>
        <v>1.4137999999999999</v>
      </c>
      <c r="AD48" s="14">
        <f t="shared" si="10"/>
        <v>2.02088</v>
      </c>
      <c r="AE48" s="14">
        <f t="shared" si="10"/>
        <v>2.1408399999999999</v>
      </c>
      <c r="AF48" s="14">
        <f t="shared" si="10"/>
        <v>2.1228399999999996</v>
      </c>
      <c r="AG48" s="14">
        <f t="shared" si="10"/>
        <v>2.2697600000000007</v>
      </c>
      <c r="AH48" s="15">
        <f t="shared" si="10"/>
        <v>2.2566800000000002</v>
      </c>
      <c r="AL48" s="42"/>
      <c r="AM48" s="42"/>
      <c r="AN48" s="42"/>
    </row>
    <row r="49" spans="1:40" x14ac:dyDescent="0.25">
      <c r="A49" s="1">
        <v>47</v>
      </c>
      <c r="B49" s="2">
        <v>81.442999999999998</v>
      </c>
      <c r="C49" s="2">
        <v>95.034999999999997</v>
      </c>
      <c r="D49" s="2">
        <v>176.42</v>
      </c>
      <c r="E49" s="2">
        <v>1.974</v>
      </c>
      <c r="F49" s="2">
        <v>1.923</v>
      </c>
      <c r="H49" s="23" t="s">
        <v>1</v>
      </c>
      <c r="I49" s="16">
        <f>3*STDEV(I23:I47)</f>
        <v>0.76328232653455375</v>
      </c>
      <c r="J49" s="17">
        <f t="shared" ref="J49:T49" si="11">3*STDEV(J23:J47)</f>
        <v>0.58049095600189915</v>
      </c>
      <c r="K49" s="17">
        <f t="shared" si="11"/>
        <v>0.52397565783154509</v>
      </c>
      <c r="L49" s="17">
        <f t="shared" si="11"/>
        <v>0.88856189992594414</v>
      </c>
      <c r="M49" s="17">
        <f t="shared" si="11"/>
        <v>0.72970167877016179</v>
      </c>
      <c r="N49" s="17">
        <f t="shared" si="11"/>
        <v>0.43476624753998538</v>
      </c>
      <c r="O49" s="17">
        <f t="shared" si="11"/>
        <v>0.74464383432618342</v>
      </c>
      <c r="P49" s="17">
        <f t="shared" si="11"/>
        <v>0.53648159334686985</v>
      </c>
      <c r="Q49" s="17">
        <f t="shared" si="11"/>
        <v>0.47334993398119252</v>
      </c>
      <c r="R49" s="17">
        <f t="shared" si="11"/>
        <v>1.0239895800251104</v>
      </c>
      <c r="S49" s="17">
        <f t="shared" si="11"/>
        <v>0.50251023870165989</v>
      </c>
      <c r="T49" s="18">
        <f t="shared" si="11"/>
        <v>0.61219073008336156</v>
      </c>
      <c r="U49" s="50"/>
      <c r="V49" s="23" t="s">
        <v>1</v>
      </c>
      <c r="W49" s="16">
        <f>3*STDEV(W23:W47)</f>
        <v>0.69727325346666702</v>
      </c>
      <c r="X49" s="17">
        <f t="shared" ref="X49:AH49" si="12">3*STDEV(X23:X47)</f>
        <v>0.68457797948808896</v>
      </c>
      <c r="Y49" s="17">
        <f t="shared" si="12"/>
        <v>0.68081477657289935</v>
      </c>
      <c r="Z49" s="17">
        <f t="shared" si="12"/>
        <v>0.65036886456840459</v>
      </c>
      <c r="AA49" s="17">
        <f t="shared" si="12"/>
        <v>0.75263929607747204</v>
      </c>
      <c r="AB49" s="17">
        <f t="shared" si="12"/>
        <v>0.82366278901015488</v>
      </c>
      <c r="AC49" s="17">
        <f t="shared" si="12"/>
        <v>0.6987778616985526</v>
      </c>
      <c r="AD49" s="17">
        <f t="shared" si="12"/>
        <v>0.72384096319564817</v>
      </c>
      <c r="AE49" s="17">
        <f t="shared" si="12"/>
        <v>0.85938379668224862</v>
      </c>
      <c r="AF49" s="17">
        <f t="shared" si="12"/>
        <v>0.74179698031201247</v>
      </c>
      <c r="AG49" s="17">
        <f t="shared" si="12"/>
        <v>1.0089955203071874</v>
      </c>
      <c r="AH49" s="18">
        <f t="shared" si="12"/>
        <v>0.71205392351983776</v>
      </c>
      <c r="AL49" s="42"/>
      <c r="AM49" s="42"/>
      <c r="AN49" s="42"/>
    </row>
    <row r="50" spans="1:40" x14ac:dyDescent="0.25">
      <c r="A50" s="1">
        <v>48</v>
      </c>
      <c r="B50" s="2">
        <v>81.087000000000003</v>
      </c>
      <c r="C50" s="2">
        <v>94.649000000000001</v>
      </c>
      <c r="D50" s="2">
        <v>175.77099999999999</v>
      </c>
      <c r="E50" s="2">
        <v>2.149</v>
      </c>
      <c r="F50" s="2">
        <v>1.879</v>
      </c>
      <c r="H50" s="23" t="s">
        <v>2</v>
      </c>
      <c r="I50" s="16">
        <f>MAX(I23:I47)</f>
        <v>81.427000000000007</v>
      </c>
      <c r="J50" s="17">
        <f t="shared" ref="J50:T50" si="13">MAX(J23:J47)</f>
        <v>81.790000000000006</v>
      </c>
      <c r="K50" s="17">
        <f t="shared" si="13"/>
        <v>81.647999999999996</v>
      </c>
      <c r="L50" s="17">
        <f t="shared" si="13"/>
        <v>82.043999999999997</v>
      </c>
      <c r="M50" s="17">
        <f t="shared" si="13"/>
        <v>81.906999999999996</v>
      </c>
      <c r="N50" s="17">
        <f t="shared" si="13"/>
        <v>81.328000000000003</v>
      </c>
      <c r="O50" s="17">
        <f t="shared" si="13"/>
        <v>81.364999999999995</v>
      </c>
      <c r="P50" s="17">
        <f t="shared" si="13"/>
        <v>81.442999999999998</v>
      </c>
      <c r="Q50" s="17">
        <f t="shared" si="13"/>
        <v>81.5</v>
      </c>
      <c r="R50" s="17">
        <f t="shared" si="13"/>
        <v>81.924000000000007</v>
      </c>
      <c r="S50" s="17">
        <f t="shared" si="13"/>
        <v>81.594999999999999</v>
      </c>
      <c r="T50" s="18">
        <f t="shared" si="13"/>
        <v>81.605999999999995</v>
      </c>
      <c r="U50" s="50"/>
      <c r="V50" s="23" t="s">
        <v>2</v>
      </c>
      <c r="W50" s="16">
        <f>MAX(W23:W47)</f>
        <v>2.4950000000000001</v>
      </c>
      <c r="X50" s="17">
        <f t="shared" ref="X50:AH50" si="14">MAX(X23:X47)</f>
        <v>2.4300000000000002</v>
      </c>
      <c r="Y50" s="17">
        <f t="shared" si="14"/>
        <v>2.7440000000000002</v>
      </c>
      <c r="Z50" s="17">
        <f t="shared" si="14"/>
        <v>2.4750000000000001</v>
      </c>
      <c r="AA50" s="17">
        <f t="shared" si="14"/>
        <v>2.6579999999999999</v>
      </c>
      <c r="AB50" s="17">
        <f t="shared" si="14"/>
        <v>2.3769999999999998</v>
      </c>
      <c r="AC50" s="17">
        <f t="shared" si="14"/>
        <v>2.008</v>
      </c>
      <c r="AD50" s="17">
        <f t="shared" si="14"/>
        <v>2.738</v>
      </c>
      <c r="AE50" s="17">
        <f t="shared" si="14"/>
        <v>2.706</v>
      </c>
      <c r="AF50" s="17">
        <f t="shared" si="14"/>
        <v>2.867</v>
      </c>
      <c r="AG50" s="17">
        <f t="shared" si="14"/>
        <v>2.9529999999999998</v>
      </c>
      <c r="AH50" s="18">
        <f t="shared" si="14"/>
        <v>2.7890000000000001</v>
      </c>
      <c r="AL50" s="42"/>
      <c r="AM50" s="42"/>
      <c r="AN50" s="42"/>
    </row>
    <row r="51" spans="1:40" x14ac:dyDescent="0.25">
      <c r="A51" s="1">
        <v>49</v>
      </c>
      <c r="B51" s="2">
        <v>80.905000000000001</v>
      </c>
      <c r="C51" s="2">
        <v>94.924000000000007</v>
      </c>
      <c r="D51" s="2">
        <v>175.90700000000001</v>
      </c>
      <c r="E51" s="2">
        <v>2.222</v>
      </c>
      <c r="F51" s="2">
        <v>1.9990000000000001</v>
      </c>
      <c r="H51" s="23" t="s">
        <v>3</v>
      </c>
      <c r="I51" s="16">
        <f>MIN(I23:I47)</f>
        <v>80.498000000000005</v>
      </c>
      <c r="J51" s="17">
        <f t="shared" ref="J51:T51" si="15">MIN(J23:J47)</f>
        <v>81.022000000000006</v>
      </c>
      <c r="K51" s="17">
        <f t="shared" si="15"/>
        <v>80.897999999999996</v>
      </c>
      <c r="L51" s="17">
        <f t="shared" si="15"/>
        <v>80.825999999999993</v>
      </c>
      <c r="M51" s="17">
        <f t="shared" si="15"/>
        <v>80.736999999999995</v>
      </c>
      <c r="N51" s="17">
        <f t="shared" si="15"/>
        <v>80.808999999999997</v>
      </c>
      <c r="O51" s="17">
        <f t="shared" si="15"/>
        <v>80.367999999999995</v>
      </c>
      <c r="P51" s="17">
        <f t="shared" si="15"/>
        <v>80.653000000000006</v>
      </c>
      <c r="Q51" s="17">
        <f t="shared" si="15"/>
        <v>80.921000000000006</v>
      </c>
      <c r="R51" s="17">
        <f t="shared" si="15"/>
        <v>80.507000000000005</v>
      </c>
      <c r="S51" s="17">
        <f t="shared" si="15"/>
        <v>80.92</v>
      </c>
      <c r="T51" s="18">
        <f t="shared" si="15"/>
        <v>80.787999999999997</v>
      </c>
      <c r="U51" s="50"/>
      <c r="V51" s="23" t="s">
        <v>3</v>
      </c>
      <c r="W51" s="16">
        <f>MIN(W23:W47)</f>
        <v>1.5369999999999999</v>
      </c>
      <c r="X51" s="17">
        <f t="shared" ref="X51:AH51" si="16">MIN(X23:X47)</f>
        <v>1.573</v>
      </c>
      <c r="Y51" s="17">
        <f t="shared" si="16"/>
        <v>1.891</v>
      </c>
      <c r="Z51" s="17">
        <f t="shared" si="16"/>
        <v>1.6020000000000001</v>
      </c>
      <c r="AA51" s="17">
        <f t="shared" si="16"/>
        <v>1.554</v>
      </c>
      <c r="AB51" s="17">
        <f t="shared" si="16"/>
        <v>1.4630000000000001</v>
      </c>
      <c r="AC51" s="17">
        <f t="shared" si="16"/>
        <v>0.90100000000000002</v>
      </c>
      <c r="AD51" s="17">
        <f t="shared" si="16"/>
        <v>1.518</v>
      </c>
      <c r="AE51" s="17">
        <f t="shared" si="16"/>
        <v>1.718</v>
      </c>
      <c r="AF51" s="17">
        <f t="shared" si="16"/>
        <v>1.6559999999999999</v>
      </c>
      <c r="AG51" s="17">
        <f t="shared" si="16"/>
        <v>1.6579999999999999</v>
      </c>
      <c r="AH51" s="18">
        <f t="shared" si="16"/>
        <v>1.921</v>
      </c>
      <c r="AL51" s="42"/>
      <c r="AM51" s="42"/>
      <c r="AN51" s="42"/>
    </row>
    <row r="52" spans="1:40" x14ac:dyDescent="0.25">
      <c r="A52" s="1">
        <v>50</v>
      </c>
      <c r="B52" s="2">
        <v>81.204999999999998</v>
      </c>
      <c r="C52" s="2">
        <v>94.685000000000002</v>
      </c>
      <c r="D52" s="2">
        <v>175.89400000000001</v>
      </c>
      <c r="E52" s="2">
        <v>1.9390000000000001</v>
      </c>
      <c r="F52" s="2">
        <v>2.052</v>
      </c>
      <c r="H52" s="24" t="s">
        <v>4</v>
      </c>
      <c r="I52" s="19">
        <f>I50-I51</f>
        <v>0.92900000000000205</v>
      </c>
      <c r="J52" s="20">
        <f t="shared" ref="J52:T52" si="17">J50-J51</f>
        <v>0.76800000000000068</v>
      </c>
      <c r="K52" s="20">
        <f t="shared" si="17"/>
        <v>0.75</v>
      </c>
      <c r="L52" s="20">
        <f t="shared" si="17"/>
        <v>1.2180000000000035</v>
      </c>
      <c r="M52" s="20">
        <f t="shared" si="17"/>
        <v>1.1700000000000017</v>
      </c>
      <c r="N52" s="20">
        <f t="shared" si="17"/>
        <v>0.51900000000000546</v>
      </c>
      <c r="O52" s="20">
        <f t="shared" si="17"/>
        <v>0.99699999999999989</v>
      </c>
      <c r="P52" s="20">
        <f t="shared" si="17"/>
        <v>0.78999999999999204</v>
      </c>
      <c r="Q52" s="20">
        <f t="shared" si="17"/>
        <v>0.57899999999999352</v>
      </c>
      <c r="R52" s="20">
        <f t="shared" si="17"/>
        <v>1.4170000000000016</v>
      </c>
      <c r="S52" s="20">
        <f t="shared" si="17"/>
        <v>0.67499999999999716</v>
      </c>
      <c r="T52" s="21">
        <f t="shared" si="17"/>
        <v>0.81799999999999784</v>
      </c>
      <c r="U52" s="50"/>
      <c r="V52" s="24" t="s">
        <v>4</v>
      </c>
      <c r="W52" s="19">
        <f>W50-W51</f>
        <v>0.95800000000000018</v>
      </c>
      <c r="X52" s="20">
        <f t="shared" ref="X52:AH52" si="18">X50-X51</f>
        <v>0.85700000000000021</v>
      </c>
      <c r="Y52" s="20">
        <f t="shared" si="18"/>
        <v>0.8530000000000002</v>
      </c>
      <c r="Z52" s="20">
        <f t="shared" si="18"/>
        <v>0.873</v>
      </c>
      <c r="AA52" s="20">
        <f t="shared" si="18"/>
        <v>1.1039999999999999</v>
      </c>
      <c r="AB52" s="20">
        <f t="shared" si="18"/>
        <v>0.9139999999999997</v>
      </c>
      <c r="AC52" s="20">
        <f t="shared" si="18"/>
        <v>1.107</v>
      </c>
      <c r="AD52" s="20">
        <f t="shared" si="18"/>
        <v>1.22</v>
      </c>
      <c r="AE52" s="20">
        <f t="shared" si="18"/>
        <v>0.98799999999999999</v>
      </c>
      <c r="AF52" s="20">
        <f t="shared" si="18"/>
        <v>1.2110000000000001</v>
      </c>
      <c r="AG52" s="20">
        <f t="shared" si="18"/>
        <v>1.2949999999999999</v>
      </c>
      <c r="AH52" s="21">
        <f t="shared" si="18"/>
        <v>0.8680000000000001</v>
      </c>
      <c r="AL52" s="42"/>
      <c r="AM52" s="42"/>
      <c r="AN52" s="42"/>
    </row>
    <row r="53" spans="1:40" x14ac:dyDescent="0.25">
      <c r="A53" s="1">
        <v>51</v>
      </c>
      <c r="B53" s="2">
        <v>81.296999999999997</v>
      </c>
      <c r="C53" s="2">
        <v>95.034999999999997</v>
      </c>
      <c r="D53" s="2">
        <v>176.31</v>
      </c>
      <c r="E53" s="2">
        <v>2.089</v>
      </c>
      <c r="F53" s="2">
        <v>2.0169999999999999</v>
      </c>
      <c r="V53" s="56"/>
      <c r="W53" s="56"/>
      <c r="X53" s="56"/>
      <c r="AB53" s="2"/>
      <c r="AC53" s="2"/>
      <c r="AD53" s="2"/>
      <c r="AL53" s="42"/>
      <c r="AM53" s="42"/>
      <c r="AN53" s="42"/>
    </row>
    <row r="54" spans="1:40" x14ac:dyDescent="0.25">
      <c r="A54" s="1">
        <v>52</v>
      </c>
      <c r="B54" s="2">
        <v>81.409000000000006</v>
      </c>
      <c r="C54" s="2">
        <v>94.683000000000007</v>
      </c>
      <c r="D54" s="2">
        <v>176.06</v>
      </c>
      <c r="E54" s="2">
        <v>2.2789999999999999</v>
      </c>
      <c r="F54" s="2">
        <v>2.097</v>
      </c>
      <c r="H54" s="11" t="str">
        <f>$C$2</f>
        <v>Line</v>
      </c>
      <c r="I54" s="33">
        <v>-90</v>
      </c>
      <c r="J54" s="33">
        <v>-75</v>
      </c>
      <c r="K54" s="33">
        <v>-60</v>
      </c>
      <c r="L54" s="33">
        <v>-45</v>
      </c>
      <c r="M54" s="33">
        <v>-30</v>
      </c>
      <c r="N54" s="33">
        <v>-15</v>
      </c>
      <c r="O54" s="33">
        <v>0</v>
      </c>
      <c r="P54" s="33">
        <v>15</v>
      </c>
      <c r="Q54" s="33">
        <v>30</v>
      </c>
      <c r="R54" s="33">
        <v>45</v>
      </c>
      <c r="S54" s="33">
        <v>60</v>
      </c>
      <c r="T54" s="33">
        <v>75</v>
      </c>
      <c r="U54" s="49"/>
      <c r="V54" s="51" t="str">
        <f>$F$2</f>
        <v>LER</v>
      </c>
      <c r="W54" s="33">
        <v>-90</v>
      </c>
      <c r="X54" s="33">
        <v>-75</v>
      </c>
      <c r="Y54" s="33">
        <v>-60</v>
      </c>
      <c r="Z54" s="33">
        <v>-45</v>
      </c>
      <c r="AA54" s="33">
        <v>-30</v>
      </c>
      <c r="AB54" s="33">
        <v>-15</v>
      </c>
      <c r="AC54" s="33">
        <v>0</v>
      </c>
      <c r="AD54" s="33">
        <v>15</v>
      </c>
      <c r="AE54" s="33">
        <v>30</v>
      </c>
      <c r="AF54" s="33">
        <v>45</v>
      </c>
      <c r="AG54" s="33">
        <v>60</v>
      </c>
      <c r="AH54" s="33">
        <v>75</v>
      </c>
      <c r="AL54" s="42"/>
      <c r="AM54" s="42"/>
      <c r="AN54" s="42"/>
    </row>
    <row r="55" spans="1:40" x14ac:dyDescent="0.25">
      <c r="A55" s="1">
        <v>53</v>
      </c>
      <c r="B55" s="2">
        <v>81.328000000000003</v>
      </c>
      <c r="C55" s="2">
        <v>94.447000000000003</v>
      </c>
      <c r="D55" s="2">
        <v>175.79400000000001</v>
      </c>
      <c r="E55" s="2">
        <v>2.0920000000000001</v>
      </c>
      <c r="F55" s="2">
        <v>1.869</v>
      </c>
      <c r="H55" s="4">
        <v>1</v>
      </c>
      <c r="I55" s="25">
        <f>INDEX($C$3:$C$327,$H55+(I$21-1)*25,1)</f>
        <v>94.722999999999999</v>
      </c>
      <c r="J55" s="25">
        <f t="shared" ref="I55:T64" si="19">INDEX($C$3:$C$327,$H55+(J$21-1)*25,1)</f>
        <v>94.793000000000006</v>
      </c>
      <c r="K55" s="25">
        <f t="shared" si="19"/>
        <v>94.76</v>
      </c>
      <c r="L55" s="25">
        <f t="shared" si="19"/>
        <v>95.197999999999993</v>
      </c>
      <c r="M55" s="25">
        <f t="shared" si="19"/>
        <v>94.906000000000006</v>
      </c>
      <c r="N55" s="25">
        <f t="shared" si="19"/>
        <v>95.260999999999996</v>
      </c>
      <c r="O55" s="25">
        <f t="shared" si="19"/>
        <v>95.391999999999996</v>
      </c>
      <c r="P55" s="25">
        <f t="shared" si="19"/>
        <v>95.185000000000002</v>
      </c>
      <c r="Q55" s="25">
        <f t="shared" si="19"/>
        <v>95.034999999999997</v>
      </c>
      <c r="R55" s="25">
        <f t="shared" si="19"/>
        <v>94.828000000000003</v>
      </c>
      <c r="S55" s="25">
        <f t="shared" si="19"/>
        <v>94.721000000000004</v>
      </c>
      <c r="T55" s="25">
        <f t="shared" si="19"/>
        <v>95.361000000000004</v>
      </c>
      <c r="U55" s="42"/>
      <c r="V55" s="4">
        <v>1</v>
      </c>
      <c r="W55" s="25">
        <f t="shared" ref="W55:AH64" si="20">INDEX($F$3:$F$327,$H55+(W$21-1)*25,1)</f>
        <v>2.1440000000000001</v>
      </c>
      <c r="X55" s="25">
        <f t="shared" si="20"/>
        <v>1.9730000000000001</v>
      </c>
      <c r="Y55" s="25">
        <f t="shared" si="20"/>
        <v>1.8759999999999999</v>
      </c>
      <c r="Z55" s="25">
        <f t="shared" si="20"/>
        <v>1.8120000000000001</v>
      </c>
      <c r="AA55" s="25">
        <f t="shared" si="20"/>
        <v>1.9330000000000001</v>
      </c>
      <c r="AB55" s="25">
        <f t="shared" si="20"/>
        <v>1.544</v>
      </c>
      <c r="AC55" s="25">
        <f t="shared" si="20"/>
        <v>1.585</v>
      </c>
      <c r="AD55" s="25">
        <f t="shared" si="20"/>
        <v>1.9</v>
      </c>
      <c r="AE55" s="25">
        <f t="shared" si="20"/>
        <v>2.0169999999999999</v>
      </c>
      <c r="AF55" s="25">
        <f t="shared" si="20"/>
        <v>1.982</v>
      </c>
      <c r="AG55" s="25">
        <f t="shared" si="20"/>
        <v>2.5459999999999998</v>
      </c>
      <c r="AH55" s="25">
        <f t="shared" si="20"/>
        <v>2.496</v>
      </c>
      <c r="AL55" s="42"/>
      <c r="AM55" s="42"/>
      <c r="AN55" s="42"/>
    </row>
    <row r="56" spans="1:40" x14ac:dyDescent="0.25">
      <c r="A56" s="1">
        <v>54</v>
      </c>
      <c r="B56" s="2">
        <v>81.227999999999994</v>
      </c>
      <c r="C56" s="2">
        <v>94.894999999999996</v>
      </c>
      <c r="D56" s="2">
        <v>176.149</v>
      </c>
      <c r="E56" s="2">
        <v>1.958</v>
      </c>
      <c r="F56" s="2">
        <v>1.956</v>
      </c>
      <c r="H56" s="5">
        <v>2</v>
      </c>
      <c r="I56" s="25">
        <f t="shared" si="19"/>
        <v>95.227999999999994</v>
      </c>
      <c r="J56" s="25">
        <f t="shared" si="19"/>
        <v>94.929000000000002</v>
      </c>
      <c r="K56" s="25">
        <f t="shared" si="19"/>
        <v>94.858999999999995</v>
      </c>
      <c r="L56" s="25">
        <f t="shared" si="19"/>
        <v>94.959000000000003</v>
      </c>
      <c r="M56" s="25">
        <f t="shared" si="19"/>
        <v>95.013999999999996</v>
      </c>
      <c r="N56" s="25">
        <f t="shared" si="19"/>
        <v>95.078000000000003</v>
      </c>
      <c r="O56" s="25">
        <f t="shared" si="19"/>
        <v>95.47</v>
      </c>
      <c r="P56" s="25">
        <f t="shared" si="19"/>
        <v>94.915999999999997</v>
      </c>
      <c r="Q56" s="25">
        <f t="shared" si="19"/>
        <v>94.683000000000007</v>
      </c>
      <c r="R56" s="25">
        <f t="shared" si="19"/>
        <v>94.004999999999995</v>
      </c>
      <c r="S56" s="25">
        <f t="shared" si="19"/>
        <v>94.744</v>
      </c>
      <c r="T56" s="25">
        <f t="shared" si="19"/>
        <v>94.850999999999999</v>
      </c>
      <c r="U56" s="42"/>
      <c r="V56" s="5">
        <v>2</v>
      </c>
      <c r="W56" s="25">
        <f t="shared" si="20"/>
        <v>2.032</v>
      </c>
      <c r="X56" s="25">
        <f t="shared" si="20"/>
        <v>2.0859999999999999</v>
      </c>
      <c r="Y56" s="25">
        <f t="shared" si="20"/>
        <v>2.1480000000000001</v>
      </c>
      <c r="Z56" s="25">
        <f t="shared" si="20"/>
        <v>1.9970000000000001</v>
      </c>
      <c r="AA56" s="25">
        <f t="shared" si="20"/>
        <v>2.16</v>
      </c>
      <c r="AB56" s="25">
        <f t="shared" si="20"/>
        <v>2.202</v>
      </c>
      <c r="AC56" s="25">
        <f t="shared" si="20"/>
        <v>1.41</v>
      </c>
      <c r="AD56" s="25">
        <f t="shared" si="20"/>
        <v>2.1920000000000002</v>
      </c>
      <c r="AE56" s="25">
        <f t="shared" si="20"/>
        <v>2.097</v>
      </c>
      <c r="AF56" s="25">
        <f t="shared" si="20"/>
        <v>2.0720000000000001</v>
      </c>
      <c r="AG56" s="25">
        <f t="shared" si="20"/>
        <v>2.2120000000000002</v>
      </c>
      <c r="AH56" s="25">
        <f t="shared" si="20"/>
        <v>2.4729999999999999</v>
      </c>
      <c r="AL56" s="42"/>
      <c r="AM56" s="42"/>
      <c r="AN56" s="42"/>
    </row>
    <row r="57" spans="1:40" x14ac:dyDescent="0.25">
      <c r="A57" s="1">
        <v>55</v>
      </c>
      <c r="B57" s="2">
        <v>81.335999999999999</v>
      </c>
      <c r="C57" s="2">
        <v>94.867000000000004</v>
      </c>
      <c r="D57" s="2">
        <v>176.185</v>
      </c>
      <c r="E57" s="2">
        <v>2.153</v>
      </c>
      <c r="F57" s="2">
        <v>2.0150000000000001</v>
      </c>
      <c r="H57" s="5">
        <v>3</v>
      </c>
      <c r="I57" s="25">
        <f t="shared" si="19"/>
        <v>94.879000000000005</v>
      </c>
      <c r="J57" s="25">
        <f t="shared" si="19"/>
        <v>94.460999999999999</v>
      </c>
      <c r="K57" s="25">
        <f t="shared" si="19"/>
        <v>94.951999999999998</v>
      </c>
      <c r="L57" s="25">
        <f t="shared" si="19"/>
        <v>94.643000000000001</v>
      </c>
      <c r="M57" s="25">
        <f t="shared" si="19"/>
        <v>94.703999999999994</v>
      </c>
      <c r="N57" s="25">
        <f t="shared" si="19"/>
        <v>95.534000000000006</v>
      </c>
      <c r="O57" s="25">
        <f t="shared" si="19"/>
        <v>95.421000000000006</v>
      </c>
      <c r="P57" s="25">
        <f t="shared" si="19"/>
        <v>95.054000000000002</v>
      </c>
      <c r="Q57" s="25">
        <f t="shared" si="19"/>
        <v>94.447000000000003</v>
      </c>
      <c r="R57" s="25">
        <f t="shared" si="19"/>
        <v>94.763999999999996</v>
      </c>
      <c r="S57" s="25">
        <f t="shared" si="19"/>
        <v>94.33</v>
      </c>
      <c r="T57" s="25">
        <f t="shared" si="19"/>
        <v>94.652000000000001</v>
      </c>
      <c r="U57" s="42"/>
      <c r="V57" s="5">
        <v>3</v>
      </c>
      <c r="W57" s="25">
        <f t="shared" si="20"/>
        <v>2.109</v>
      </c>
      <c r="X57" s="25">
        <f t="shared" si="20"/>
        <v>2.403</v>
      </c>
      <c r="Y57" s="25">
        <f t="shared" si="20"/>
        <v>1.7230000000000001</v>
      </c>
      <c r="Z57" s="25">
        <f t="shared" si="20"/>
        <v>1.829</v>
      </c>
      <c r="AA57" s="25">
        <f t="shared" si="20"/>
        <v>2.0270000000000001</v>
      </c>
      <c r="AB57" s="25">
        <f t="shared" si="20"/>
        <v>1.5660000000000001</v>
      </c>
      <c r="AC57" s="25">
        <f t="shared" si="20"/>
        <v>1.1779999999999999</v>
      </c>
      <c r="AD57" s="25">
        <f t="shared" si="20"/>
        <v>2.2570000000000001</v>
      </c>
      <c r="AE57" s="25">
        <f t="shared" si="20"/>
        <v>1.869</v>
      </c>
      <c r="AF57" s="25">
        <f t="shared" si="20"/>
        <v>2.3639999999999999</v>
      </c>
      <c r="AG57" s="25">
        <f t="shared" si="20"/>
        <v>2.5009999999999999</v>
      </c>
      <c r="AH57" s="25">
        <f t="shared" si="20"/>
        <v>2.0289999999999999</v>
      </c>
      <c r="AL57" s="42"/>
      <c r="AM57" s="42"/>
      <c r="AN57" s="42"/>
    </row>
    <row r="58" spans="1:40" x14ac:dyDescent="0.25">
      <c r="A58" s="1">
        <v>56</v>
      </c>
      <c r="B58" s="2">
        <v>81.031000000000006</v>
      </c>
      <c r="C58" s="2">
        <v>94.817999999999998</v>
      </c>
      <c r="D58" s="2">
        <v>175.87700000000001</v>
      </c>
      <c r="E58" s="2">
        <v>1.718</v>
      </c>
      <c r="F58" s="2">
        <v>1.877</v>
      </c>
      <c r="H58" s="5">
        <v>4</v>
      </c>
      <c r="I58" s="25">
        <f t="shared" si="19"/>
        <v>94.617999999999995</v>
      </c>
      <c r="J58" s="25">
        <f t="shared" si="19"/>
        <v>94.96</v>
      </c>
      <c r="K58" s="25">
        <f t="shared" si="19"/>
        <v>94.924999999999997</v>
      </c>
      <c r="L58" s="25">
        <f t="shared" si="19"/>
        <v>94.703999999999994</v>
      </c>
      <c r="M58" s="25">
        <f t="shared" si="19"/>
        <v>94.942999999999998</v>
      </c>
      <c r="N58" s="25">
        <f t="shared" si="19"/>
        <v>94.953999999999994</v>
      </c>
      <c r="O58" s="25">
        <f t="shared" si="19"/>
        <v>95.325999999999993</v>
      </c>
      <c r="P58" s="25">
        <f t="shared" si="19"/>
        <v>94.603999999999999</v>
      </c>
      <c r="Q58" s="25">
        <f t="shared" si="19"/>
        <v>94.894999999999996</v>
      </c>
      <c r="R58" s="25">
        <f t="shared" si="19"/>
        <v>94.593000000000004</v>
      </c>
      <c r="S58" s="25">
        <f t="shared" si="19"/>
        <v>95.006</v>
      </c>
      <c r="T58" s="25">
        <f t="shared" si="19"/>
        <v>94.87</v>
      </c>
      <c r="U58" s="42"/>
      <c r="V58" s="5">
        <v>4</v>
      </c>
      <c r="W58" s="25">
        <f t="shared" si="20"/>
        <v>2.194</v>
      </c>
      <c r="X58" s="25">
        <f t="shared" si="20"/>
        <v>1.96</v>
      </c>
      <c r="Y58" s="25">
        <f t="shared" si="20"/>
        <v>1.9510000000000001</v>
      </c>
      <c r="Z58" s="25">
        <f t="shared" si="20"/>
        <v>1.851</v>
      </c>
      <c r="AA58" s="25">
        <f t="shared" si="20"/>
        <v>1.825</v>
      </c>
      <c r="AB58" s="25">
        <f t="shared" si="20"/>
        <v>2.0129999999999999</v>
      </c>
      <c r="AC58" s="25">
        <f t="shared" si="20"/>
        <v>1.3420000000000001</v>
      </c>
      <c r="AD58" s="25">
        <f t="shared" si="20"/>
        <v>1.427</v>
      </c>
      <c r="AE58" s="25">
        <f t="shared" si="20"/>
        <v>1.956</v>
      </c>
      <c r="AF58" s="25">
        <f t="shared" si="20"/>
        <v>1.986</v>
      </c>
      <c r="AG58" s="25">
        <f t="shared" si="20"/>
        <v>2.35</v>
      </c>
      <c r="AH58" s="25">
        <f t="shared" si="20"/>
        <v>2.1240000000000001</v>
      </c>
      <c r="AL58" s="42"/>
      <c r="AM58" s="42"/>
      <c r="AN58" s="42"/>
    </row>
    <row r="59" spans="1:40" x14ac:dyDescent="0.25">
      <c r="A59" s="1">
        <v>57</v>
      </c>
      <c r="B59" s="2">
        <v>81.411000000000001</v>
      </c>
      <c r="C59" s="2">
        <v>94.566000000000003</v>
      </c>
      <c r="D59" s="2">
        <v>175.952</v>
      </c>
      <c r="E59" s="2">
        <v>1.901</v>
      </c>
      <c r="F59" s="2">
        <v>2.0830000000000002</v>
      </c>
      <c r="H59" s="5">
        <v>5</v>
      </c>
      <c r="I59" s="25">
        <f t="shared" si="19"/>
        <v>94.906999999999996</v>
      </c>
      <c r="J59" s="25">
        <f t="shared" si="19"/>
        <v>94.941000000000003</v>
      </c>
      <c r="K59" s="25">
        <f t="shared" si="19"/>
        <v>94.849000000000004</v>
      </c>
      <c r="L59" s="25">
        <f t="shared" si="19"/>
        <v>94.971000000000004</v>
      </c>
      <c r="M59" s="25">
        <f t="shared" si="19"/>
        <v>94.867999999999995</v>
      </c>
      <c r="N59" s="25">
        <f t="shared" si="19"/>
        <v>95.253</v>
      </c>
      <c r="O59" s="25">
        <f t="shared" si="19"/>
        <v>94.921000000000006</v>
      </c>
      <c r="P59" s="25">
        <f t="shared" si="19"/>
        <v>94.896000000000001</v>
      </c>
      <c r="Q59" s="25">
        <f t="shared" si="19"/>
        <v>94.867000000000004</v>
      </c>
      <c r="R59" s="25">
        <f t="shared" si="19"/>
        <v>94.801000000000002</v>
      </c>
      <c r="S59" s="25">
        <f t="shared" si="19"/>
        <v>94.617999999999995</v>
      </c>
      <c r="T59" s="25">
        <f t="shared" si="19"/>
        <v>94.73</v>
      </c>
      <c r="U59" s="42"/>
      <c r="V59" s="5">
        <v>5</v>
      </c>
      <c r="W59" s="25">
        <f t="shared" si="20"/>
        <v>1.9019999999999999</v>
      </c>
      <c r="X59" s="25">
        <f t="shared" si="20"/>
        <v>1.7809999999999999</v>
      </c>
      <c r="Y59" s="25">
        <f t="shared" si="20"/>
        <v>2.6989999999999998</v>
      </c>
      <c r="Z59" s="25">
        <f t="shared" si="20"/>
        <v>1.8480000000000001</v>
      </c>
      <c r="AA59" s="25">
        <f t="shared" si="20"/>
        <v>1.7549999999999999</v>
      </c>
      <c r="AB59" s="25">
        <f t="shared" si="20"/>
        <v>2.1040000000000001</v>
      </c>
      <c r="AC59" s="25">
        <f t="shared" si="20"/>
        <v>1.597</v>
      </c>
      <c r="AD59" s="25">
        <f t="shared" si="20"/>
        <v>2.1859999999999999</v>
      </c>
      <c r="AE59" s="25">
        <f t="shared" si="20"/>
        <v>2.0150000000000001</v>
      </c>
      <c r="AF59" s="25">
        <f t="shared" si="20"/>
        <v>1.98</v>
      </c>
      <c r="AG59" s="25">
        <f t="shared" si="20"/>
        <v>2.7629999999999999</v>
      </c>
      <c r="AH59" s="25">
        <f t="shared" si="20"/>
        <v>2.589</v>
      </c>
      <c r="AL59" s="42"/>
      <c r="AM59" s="42"/>
      <c r="AN59" s="42"/>
    </row>
    <row r="60" spans="1:40" x14ac:dyDescent="0.25">
      <c r="A60" s="1">
        <v>58</v>
      </c>
      <c r="B60" s="2">
        <v>81.238</v>
      </c>
      <c r="C60" s="2">
        <v>94.644999999999996</v>
      </c>
      <c r="D60" s="2">
        <v>175.94499999999999</v>
      </c>
      <c r="E60" s="2">
        <v>2.67</v>
      </c>
      <c r="F60" s="2">
        <v>2.1819999999999999</v>
      </c>
      <c r="H60" s="5">
        <v>6</v>
      </c>
      <c r="I60" s="25">
        <f t="shared" si="19"/>
        <v>94.820999999999998</v>
      </c>
      <c r="J60" s="25">
        <f t="shared" si="19"/>
        <v>94.757999999999996</v>
      </c>
      <c r="K60" s="25">
        <f t="shared" si="19"/>
        <v>94.802000000000007</v>
      </c>
      <c r="L60" s="25">
        <f t="shared" si="19"/>
        <v>94.528999999999996</v>
      </c>
      <c r="M60" s="25">
        <f t="shared" si="19"/>
        <v>94.796000000000006</v>
      </c>
      <c r="N60" s="25">
        <f t="shared" si="19"/>
        <v>94.978999999999999</v>
      </c>
      <c r="O60" s="25">
        <f t="shared" si="19"/>
        <v>95.254999999999995</v>
      </c>
      <c r="P60" s="25">
        <f t="shared" si="19"/>
        <v>94.632999999999996</v>
      </c>
      <c r="Q60" s="25">
        <f t="shared" si="19"/>
        <v>94.817999999999998</v>
      </c>
      <c r="R60" s="25">
        <f t="shared" si="19"/>
        <v>94.528999999999996</v>
      </c>
      <c r="S60" s="25">
        <f t="shared" si="19"/>
        <v>94.849000000000004</v>
      </c>
      <c r="T60" s="25">
        <f t="shared" si="19"/>
        <v>95.146000000000001</v>
      </c>
      <c r="U60" s="42"/>
      <c r="V60" s="5">
        <v>6</v>
      </c>
      <c r="W60" s="25">
        <f t="shared" si="20"/>
        <v>1.966</v>
      </c>
      <c r="X60" s="25">
        <f t="shared" si="20"/>
        <v>1.931</v>
      </c>
      <c r="Y60" s="25">
        <f t="shared" si="20"/>
        <v>2.0259999999999998</v>
      </c>
      <c r="Z60" s="25">
        <f t="shared" si="20"/>
        <v>2.0310000000000001</v>
      </c>
      <c r="AA60" s="25">
        <f t="shared" si="20"/>
        <v>1.6870000000000001</v>
      </c>
      <c r="AB60" s="25">
        <f t="shared" si="20"/>
        <v>2.069</v>
      </c>
      <c r="AC60" s="25">
        <f t="shared" si="20"/>
        <v>1.486</v>
      </c>
      <c r="AD60" s="25">
        <f t="shared" si="20"/>
        <v>2.5299999999999998</v>
      </c>
      <c r="AE60" s="25">
        <f t="shared" si="20"/>
        <v>1.877</v>
      </c>
      <c r="AF60" s="25">
        <f t="shared" si="20"/>
        <v>2.1739999999999999</v>
      </c>
      <c r="AG60" s="25">
        <f t="shared" si="20"/>
        <v>1.7629999999999999</v>
      </c>
      <c r="AH60" s="25">
        <f t="shared" si="20"/>
        <v>2.1760000000000002</v>
      </c>
      <c r="AL60" s="42"/>
      <c r="AM60" s="42"/>
      <c r="AN60" s="42"/>
    </row>
    <row r="61" spans="1:40" x14ac:dyDescent="0.25">
      <c r="A61" s="1">
        <v>59</v>
      </c>
      <c r="B61" s="2">
        <v>81.16</v>
      </c>
      <c r="C61" s="2">
        <v>94.671999999999997</v>
      </c>
      <c r="D61" s="2">
        <v>175.827</v>
      </c>
      <c r="E61" s="2">
        <v>2.3690000000000002</v>
      </c>
      <c r="F61" s="2">
        <v>1.9710000000000001</v>
      </c>
      <c r="H61" s="5">
        <v>7</v>
      </c>
      <c r="I61" s="25">
        <f t="shared" si="19"/>
        <v>95.527000000000001</v>
      </c>
      <c r="J61" s="25">
        <f t="shared" si="19"/>
        <v>94.563999999999993</v>
      </c>
      <c r="K61" s="25">
        <f t="shared" si="19"/>
        <v>94.692999999999998</v>
      </c>
      <c r="L61" s="25">
        <f t="shared" si="19"/>
        <v>94.254000000000005</v>
      </c>
      <c r="M61" s="25">
        <f t="shared" si="19"/>
        <v>95.031000000000006</v>
      </c>
      <c r="N61" s="25">
        <f t="shared" si="19"/>
        <v>95.03</v>
      </c>
      <c r="O61" s="25">
        <f t="shared" si="19"/>
        <v>95.248999999999995</v>
      </c>
      <c r="P61" s="25">
        <f t="shared" si="19"/>
        <v>94.706999999999994</v>
      </c>
      <c r="Q61" s="25">
        <f t="shared" si="19"/>
        <v>94.566000000000003</v>
      </c>
      <c r="R61" s="25">
        <f t="shared" si="19"/>
        <v>94.161000000000001</v>
      </c>
      <c r="S61" s="25">
        <f t="shared" si="19"/>
        <v>94.522999999999996</v>
      </c>
      <c r="T61" s="25">
        <f t="shared" si="19"/>
        <v>94.825999999999993</v>
      </c>
      <c r="U61" s="42"/>
      <c r="V61" s="5">
        <v>7</v>
      </c>
      <c r="W61" s="25">
        <f t="shared" si="20"/>
        <v>1.9279999999999999</v>
      </c>
      <c r="X61" s="25">
        <f t="shared" si="20"/>
        <v>2.2559999999999998</v>
      </c>
      <c r="Y61" s="25">
        <f t="shared" si="20"/>
        <v>2.1480000000000001</v>
      </c>
      <c r="Z61" s="25">
        <f t="shared" si="20"/>
        <v>1.651</v>
      </c>
      <c r="AA61" s="25">
        <f t="shared" si="20"/>
        <v>1.6459999999999999</v>
      </c>
      <c r="AB61" s="25">
        <f t="shared" si="20"/>
        <v>1.786</v>
      </c>
      <c r="AC61" s="25">
        <f t="shared" si="20"/>
        <v>1.75</v>
      </c>
      <c r="AD61" s="25">
        <f t="shared" si="20"/>
        <v>2.109</v>
      </c>
      <c r="AE61" s="25">
        <f t="shared" si="20"/>
        <v>2.0830000000000002</v>
      </c>
      <c r="AF61" s="25">
        <f t="shared" si="20"/>
        <v>1.91</v>
      </c>
      <c r="AG61" s="25">
        <f t="shared" si="20"/>
        <v>2.3119999999999998</v>
      </c>
      <c r="AH61" s="25">
        <f t="shared" si="20"/>
        <v>2.2749999999999999</v>
      </c>
      <c r="AL61" s="42"/>
      <c r="AM61" s="42"/>
      <c r="AN61" s="42"/>
    </row>
    <row r="62" spans="1:40" x14ac:dyDescent="0.25">
      <c r="A62" s="1">
        <v>60</v>
      </c>
      <c r="B62" s="2">
        <v>81.263000000000005</v>
      </c>
      <c r="C62" s="2">
        <v>94.650999999999996</v>
      </c>
      <c r="D62" s="2">
        <v>175.84100000000001</v>
      </c>
      <c r="E62" s="2">
        <v>1.788</v>
      </c>
      <c r="F62" s="2">
        <v>2.14</v>
      </c>
      <c r="H62" s="5">
        <v>8</v>
      </c>
      <c r="I62" s="25">
        <f t="shared" si="19"/>
        <v>94.745000000000005</v>
      </c>
      <c r="J62" s="25">
        <f t="shared" si="19"/>
        <v>95.06</v>
      </c>
      <c r="K62" s="25">
        <f t="shared" si="19"/>
        <v>94.861000000000004</v>
      </c>
      <c r="L62" s="25">
        <f t="shared" si="19"/>
        <v>94.224000000000004</v>
      </c>
      <c r="M62" s="25">
        <f t="shared" si="19"/>
        <v>94.537000000000006</v>
      </c>
      <c r="N62" s="25">
        <f t="shared" si="19"/>
        <v>95.144999999999996</v>
      </c>
      <c r="O62" s="25">
        <f t="shared" si="19"/>
        <v>95.266000000000005</v>
      </c>
      <c r="P62" s="25">
        <f t="shared" si="19"/>
        <v>94.76</v>
      </c>
      <c r="Q62" s="25">
        <f t="shared" si="19"/>
        <v>94.644999999999996</v>
      </c>
      <c r="R62" s="25">
        <f t="shared" si="19"/>
        <v>95.055999999999997</v>
      </c>
      <c r="S62" s="25">
        <f t="shared" si="19"/>
        <v>94.680999999999997</v>
      </c>
      <c r="T62" s="25">
        <f t="shared" si="19"/>
        <v>94.477999999999994</v>
      </c>
      <c r="U62" s="42"/>
      <c r="V62" s="5">
        <v>8</v>
      </c>
      <c r="W62" s="25">
        <f t="shared" si="20"/>
        <v>1.88</v>
      </c>
      <c r="X62" s="25">
        <f t="shared" si="20"/>
        <v>2.5539999999999998</v>
      </c>
      <c r="Y62" s="25">
        <f t="shared" si="20"/>
        <v>2.44</v>
      </c>
      <c r="Z62" s="25">
        <f t="shared" si="20"/>
        <v>1.887</v>
      </c>
      <c r="AA62" s="25">
        <f t="shared" si="20"/>
        <v>1.613</v>
      </c>
      <c r="AB62" s="25">
        <f t="shared" si="20"/>
        <v>1.9570000000000001</v>
      </c>
      <c r="AC62" s="25">
        <f t="shared" si="20"/>
        <v>1.478</v>
      </c>
      <c r="AD62" s="25">
        <f t="shared" si="20"/>
        <v>2.46</v>
      </c>
      <c r="AE62" s="25">
        <f t="shared" si="20"/>
        <v>2.1819999999999999</v>
      </c>
      <c r="AF62" s="25">
        <f t="shared" si="20"/>
        <v>2.1269999999999998</v>
      </c>
      <c r="AG62" s="25">
        <f t="shared" si="20"/>
        <v>2.2010000000000001</v>
      </c>
      <c r="AH62" s="25">
        <f t="shared" si="20"/>
        <v>2.2149999999999999</v>
      </c>
      <c r="AL62" s="42"/>
      <c r="AM62" s="42"/>
      <c r="AN62" s="42"/>
    </row>
    <row r="63" spans="1:40" x14ac:dyDescent="0.25">
      <c r="A63" s="1">
        <v>61</v>
      </c>
      <c r="B63" s="2">
        <v>81.28</v>
      </c>
      <c r="C63" s="2">
        <v>95.111999999999995</v>
      </c>
      <c r="D63" s="2">
        <v>176.32499999999999</v>
      </c>
      <c r="E63" s="2">
        <v>1.88</v>
      </c>
      <c r="F63" s="2">
        <v>2.0859999999999999</v>
      </c>
      <c r="H63" s="5">
        <v>9</v>
      </c>
      <c r="I63" s="25">
        <f t="shared" si="19"/>
        <v>94.497</v>
      </c>
      <c r="J63" s="25">
        <f t="shared" si="19"/>
        <v>94.596000000000004</v>
      </c>
      <c r="K63" s="25">
        <f t="shared" si="19"/>
        <v>94.632000000000005</v>
      </c>
      <c r="L63" s="25">
        <f t="shared" si="19"/>
        <v>94.646000000000001</v>
      </c>
      <c r="M63" s="25">
        <f t="shared" si="19"/>
        <v>94.591999999999999</v>
      </c>
      <c r="N63" s="25">
        <f t="shared" si="19"/>
        <v>95.051000000000002</v>
      </c>
      <c r="O63" s="25">
        <f t="shared" si="19"/>
        <v>95.248000000000005</v>
      </c>
      <c r="P63" s="25">
        <f t="shared" si="19"/>
        <v>94.819000000000003</v>
      </c>
      <c r="Q63" s="25">
        <f t="shared" si="19"/>
        <v>94.671999999999997</v>
      </c>
      <c r="R63" s="25">
        <f t="shared" si="19"/>
        <v>94.801000000000002</v>
      </c>
      <c r="S63" s="25">
        <f t="shared" si="19"/>
        <v>94.281999999999996</v>
      </c>
      <c r="T63" s="25">
        <f t="shared" si="19"/>
        <v>94.724000000000004</v>
      </c>
      <c r="U63" s="42"/>
      <c r="V63" s="5">
        <v>9</v>
      </c>
      <c r="W63" s="25">
        <f t="shared" si="20"/>
        <v>2.012</v>
      </c>
      <c r="X63" s="25">
        <f t="shared" si="20"/>
        <v>1.9279999999999999</v>
      </c>
      <c r="Y63" s="25">
        <f t="shared" si="20"/>
        <v>2.0259999999999998</v>
      </c>
      <c r="Z63" s="25">
        <f t="shared" si="20"/>
        <v>1.5620000000000001</v>
      </c>
      <c r="AA63" s="25">
        <f t="shared" si="20"/>
        <v>1.639</v>
      </c>
      <c r="AB63" s="25">
        <f t="shared" si="20"/>
        <v>1.97</v>
      </c>
      <c r="AC63" s="25">
        <f t="shared" si="20"/>
        <v>1.6519999999999999</v>
      </c>
      <c r="AD63" s="25">
        <f t="shared" si="20"/>
        <v>1.992</v>
      </c>
      <c r="AE63" s="25">
        <f t="shared" si="20"/>
        <v>1.9710000000000001</v>
      </c>
      <c r="AF63" s="25">
        <f t="shared" si="20"/>
        <v>2.548</v>
      </c>
      <c r="AG63" s="25">
        <f t="shared" si="20"/>
        <v>2.6579999999999999</v>
      </c>
      <c r="AH63" s="25">
        <f t="shared" si="20"/>
        <v>1.587</v>
      </c>
      <c r="AL63" s="42"/>
      <c r="AM63" s="42"/>
      <c r="AN63" s="42"/>
    </row>
    <row r="64" spans="1:40" x14ac:dyDescent="0.25">
      <c r="A64" s="1">
        <v>62</v>
      </c>
      <c r="B64" s="2">
        <v>81.073999999999998</v>
      </c>
      <c r="C64" s="2">
        <v>95.058000000000007</v>
      </c>
      <c r="D64" s="2">
        <v>176.191</v>
      </c>
      <c r="E64" s="2">
        <v>2.214</v>
      </c>
      <c r="F64" s="2">
        <v>1.883</v>
      </c>
      <c r="H64" s="5">
        <v>10</v>
      </c>
      <c r="I64" s="25">
        <f t="shared" si="19"/>
        <v>94.858000000000004</v>
      </c>
      <c r="J64" s="25">
        <f t="shared" si="19"/>
        <v>94.941000000000003</v>
      </c>
      <c r="K64" s="25">
        <f t="shared" si="19"/>
        <v>94.603999999999999</v>
      </c>
      <c r="L64" s="25">
        <f t="shared" si="19"/>
        <v>94.962999999999994</v>
      </c>
      <c r="M64" s="25">
        <f t="shared" si="19"/>
        <v>95.168000000000006</v>
      </c>
      <c r="N64" s="25">
        <f t="shared" si="19"/>
        <v>95</v>
      </c>
      <c r="O64" s="25">
        <f t="shared" si="19"/>
        <v>95.436000000000007</v>
      </c>
      <c r="P64" s="25">
        <f t="shared" si="19"/>
        <v>94.593000000000004</v>
      </c>
      <c r="Q64" s="25">
        <f t="shared" si="19"/>
        <v>94.650999999999996</v>
      </c>
      <c r="R64" s="25">
        <f t="shared" si="19"/>
        <v>94.831999999999994</v>
      </c>
      <c r="S64" s="25">
        <f t="shared" si="19"/>
        <v>94.805999999999997</v>
      </c>
      <c r="T64" s="25">
        <f t="shared" si="19"/>
        <v>94.813000000000002</v>
      </c>
      <c r="U64" s="42"/>
      <c r="V64" s="5">
        <v>10</v>
      </c>
      <c r="W64" s="25">
        <f t="shared" si="20"/>
        <v>2.2250000000000001</v>
      </c>
      <c r="X64" s="25">
        <f t="shared" si="20"/>
        <v>1.9690000000000001</v>
      </c>
      <c r="Y64" s="25">
        <f t="shared" si="20"/>
        <v>2.3319999999999999</v>
      </c>
      <c r="Z64" s="25">
        <f t="shared" si="20"/>
        <v>2.3010000000000002</v>
      </c>
      <c r="AA64" s="25">
        <f t="shared" si="20"/>
        <v>1.6559999999999999</v>
      </c>
      <c r="AB64" s="25">
        <f t="shared" si="20"/>
        <v>2.2530000000000001</v>
      </c>
      <c r="AC64" s="25">
        <f t="shared" si="20"/>
        <v>1.196</v>
      </c>
      <c r="AD64" s="25">
        <f t="shared" si="20"/>
        <v>1.623</v>
      </c>
      <c r="AE64" s="25">
        <f t="shared" si="20"/>
        <v>2.14</v>
      </c>
      <c r="AF64" s="25">
        <f t="shared" si="20"/>
        <v>1.986</v>
      </c>
      <c r="AG64" s="25">
        <f t="shared" si="20"/>
        <v>2.1549999999999998</v>
      </c>
      <c r="AH64" s="25">
        <f t="shared" si="20"/>
        <v>1.911</v>
      </c>
      <c r="AL64" s="42"/>
      <c r="AM64" s="42"/>
      <c r="AN64" s="42"/>
    </row>
    <row r="65" spans="1:40" x14ac:dyDescent="0.25">
      <c r="A65" s="1">
        <v>63</v>
      </c>
      <c r="B65" s="2">
        <v>81.441000000000003</v>
      </c>
      <c r="C65" s="2">
        <v>94.677000000000007</v>
      </c>
      <c r="D65" s="2">
        <v>176.024</v>
      </c>
      <c r="E65" s="2">
        <v>1.8680000000000001</v>
      </c>
      <c r="F65" s="2">
        <v>2.1139999999999999</v>
      </c>
      <c r="H65" s="5">
        <v>11</v>
      </c>
      <c r="I65" s="25">
        <f t="shared" ref="I65:T79" si="21">INDEX($C$3:$C$327,$H65+(I$21-1)*25,1)</f>
        <v>94.653999999999996</v>
      </c>
      <c r="J65" s="25">
        <f t="shared" si="21"/>
        <v>94.86</v>
      </c>
      <c r="K65" s="25">
        <f t="shared" si="21"/>
        <v>94.733999999999995</v>
      </c>
      <c r="L65" s="25">
        <f t="shared" si="21"/>
        <v>94.600999999999999</v>
      </c>
      <c r="M65" s="25">
        <f t="shared" si="21"/>
        <v>94.671999999999997</v>
      </c>
      <c r="N65" s="25">
        <f t="shared" si="21"/>
        <v>95.009</v>
      </c>
      <c r="O65" s="25">
        <f t="shared" si="21"/>
        <v>95.427000000000007</v>
      </c>
      <c r="P65" s="25">
        <f t="shared" si="21"/>
        <v>94.930999999999997</v>
      </c>
      <c r="Q65" s="25">
        <f t="shared" si="21"/>
        <v>95.111999999999995</v>
      </c>
      <c r="R65" s="25">
        <f t="shared" si="21"/>
        <v>95.156999999999996</v>
      </c>
      <c r="S65" s="25">
        <f t="shared" si="21"/>
        <v>94.653000000000006</v>
      </c>
      <c r="T65" s="25">
        <f t="shared" si="21"/>
        <v>94.578000000000003</v>
      </c>
      <c r="U65" s="42"/>
      <c r="V65" s="5">
        <v>11</v>
      </c>
      <c r="W65" s="25">
        <f t="shared" ref="W65:AH79" si="22">INDEX($F$3:$F$327,$H65+(W$21-1)*25,1)</f>
        <v>2.0539999999999998</v>
      </c>
      <c r="X65" s="25">
        <f t="shared" si="22"/>
        <v>1.74</v>
      </c>
      <c r="Y65" s="25">
        <f t="shared" si="22"/>
        <v>1.5880000000000001</v>
      </c>
      <c r="Z65" s="25">
        <f t="shared" si="22"/>
        <v>1.788</v>
      </c>
      <c r="AA65" s="25">
        <f t="shared" si="22"/>
        <v>1.8</v>
      </c>
      <c r="AB65" s="25">
        <f t="shared" si="22"/>
        <v>1.5649999999999999</v>
      </c>
      <c r="AC65" s="25">
        <f t="shared" si="22"/>
        <v>1.8340000000000001</v>
      </c>
      <c r="AD65" s="25">
        <f t="shared" si="22"/>
        <v>1.879</v>
      </c>
      <c r="AE65" s="25">
        <f t="shared" si="22"/>
        <v>2.0859999999999999</v>
      </c>
      <c r="AF65" s="25">
        <f t="shared" si="22"/>
        <v>2.1840000000000002</v>
      </c>
      <c r="AG65" s="25">
        <f t="shared" si="22"/>
        <v>2.0699999999999998</v>
      </c>
      <c r="AH65" s="25">
        <f t="shared" si="22"/>
        <v>2.2149999999999999</v>
      </c>
      <c r="AL65" s="42"/>
      <c r="AM65" s="42"/>
      <c r="AN65" s="42"/>
    </row>
    <row r="66" spans="1:40" x14ac:dyDescent="0.25">
      <c r="A66" s="1">
        <v>64</v>
      </c>
      <c r="B66" s="2">
        <v>81.021000000000001</v>
      </c>
      <c r="C66" s="2">
        <v>94.885999999999996</v>
      </c>
      <c r="D66" s="2">
        <v>176.04599999999999</v>
      </c>
      <c r="E66" s="2">
        <v>2.0499999999999998</v>
      </c>
      <c r="F66" s="2">
        <v>2.093</v>
      </c>
      <c r="H66" s="5">
        <v>12</v>
      </c>
      <c r="I66" s="25">
        <f t="shared" si="21"/>
        <v>95.501999999999995</v>
      </c>
      <c r="J66" s="25">
        <f t="shared" si="21"/>
        <v>94.504000000000005</v>
      </c>
      <c r="K66" s="25">
        <f t="shared" si="21"/>
        <v>94.78</v>
      </c>
      <c r="L66" s="25">
        <f t="shared" si="21"/>
        <v>94.245999999999995</v>
      </c>
      <c r="M66" s="25">
        <f t="shared" si="21"/>
        <v>94.968999999999994</v>
      </c>
      <c r="N66" s="25">
        <f t="shared" si="21"/>
        <v>94.971999999999994</v>
      </c>
      <c r="O66" s="25">
        <f t="shared" si="21"/>
        <v>95.096999999999994</v>
      </c>
      <c r="P66" s="25">
        <f t="shared" si="21"/>
        <v>94.972999999999999</v>
      </c>
      <c r="Q66" s="25">
        <f t="shared" si="21"/>
        <v>95.058000000000007</v>
      </c>
      <c r="R66" s="25">
        <f t="shared" si="21"/>
        <v>94.753</v>
      </c>
      <c r="S66" s="25">
        <f t="shared" si="21"/>
        <v>94.88</v>
      </c>
      <c r="T66" s="25">
        <f t="shared" si="21"/>
        <v>94.584999999999994</v>
      </c>
      <c r="U66" s="42"/>
      <c r="V66" s="5">
        <v>12</v>
      </c>
      <c r="W66" s="25">
        <f t="shared" si="22"/>
        <v>1.8340000000000001</v>
      </c>
      <c r="X66" s="25">
        <f t="shared" si="22"/>
        <v>1.851</v>
      </c>
      <c r="Y66" s="25">
        <f t="shared" si="22"/>
        <v>2.5670000000000002</v>
      </c>
      <c r="Z66" s="25">
        <f t="shared" si="22"/>
        <v>2.0449999999999999</v>
      </c>
      <c r="AA66" s="25">
        <f t="shared" si="22"/>
        <v>1.95</v>
      </c>
      <c r="AB66" s="25">
        <f t="shared" si="22"/>
        <v>1.82</v>
      </c>
      <c r="AC66" s="25">
        <f t="shared" si="22"/>
        <v>1.127</v>
      </c>
      <c r="AD66" s="25">
        <f t="shared" si="22"/>
        <v>1.7390000000000001</v>
      </c>
      <c r="AE66" s="25">
        <f t="shared" si="22"/>
        <v>1.883</v>
      </c>
      <c r="AF66" s="25">
        <f t="shared" si="22"/>
        <v>1.978</v>
      </c>
      <c r="AG66" s="25">
        <f t="shared" si="22"/>
        <v>1.7949999999999999</v>
      </c>
      <c r="AH66" s="25">
        <f t="shared" si="22"/>
        <v>1.7350000000000001</v>
      </c>
      <c r="AL66" s="42"/>
      <c r="AM66" s="42"/>
      <c r="AN66" s="42"/>
    </row>
    <row r="67" spans="1:40" x14ac:dyDescent="0.25">
      <c r="A67" s="1">
        <v>65</v>
      </c>
      <c r="B67" s="2">
        <v>81.072000000000003</v>
      </c>
      <c r="C67" s="2">
        <v>95.013999999999996</v>
      </c>
      <c r="D67" s="2">
        <v>176.10900000000001</v>
      </c>
      <c r="E67" s="2">
        <v>1.94</v>
      </c>
      <c r="F67" s="2">
        <v>2.2290000000000001</v>
      </c>
      <c r="H67" s="5">
        <v>13</v>
      </c>
      <c r="I67" s="25">
        <f t="shared" si="21"/>
        <v>94.908000000000001</v>
      </c>
      <c r="J67" s="25">
        <f t="shared" si="21"/>
        <v>94.858999999999995</v>
      </c>
      <c r="K67" s="25">
        <f t="shared" si="21"/>
        <v>95.18</v>
      </c>
      <c r="L67" s="25">
        <f t="shared" si="21"/>
        <v>94.787000000000006</v>
      </c>
      <c r="M67" s="25">
        <f t="shared" si="21"/>
        <v>95.05</v>
      </c>
      <c r="N67" s="25">
        <f t="shared" si="21"/>
        <v>95.087999999999994</v>
      </c>
      <c r="O67" s="25">
        <f t="shared" si="21"/>
        <v>95.314999999999998</v>
      </c>
      <c r="P67" s="25">
        <f t="shared" si="21"/>
        <v>95.063000000000002</v>
      </c>
      <c r="Q67" s="25">
        <f t="shared" si="21"/>
        <v>94.677000000000007</v>
      </c>
      <c r="R67" s="25">
        <f t="shared" si="21"/>
        <v>94.927999999999997</v>
      </c>
      <c r="S67" s="25">
        <f t="shared" si="21"/>
        <v>94.814999999999998</v>
      </c>
      <c r="T67" s="25">
        <f t="shared" si="21"/>
        <v>94.811000000000007</v>
      </c>
      <c r="U67" s="42"/>
      <c r="V67" s="5">
        <v>13</v>
      </c>
      <c r="W67" s="25">
        <f t="shared" si="22"/>
        <v>1.7569999999999999</v>
      </c>
      <c r="X67" s="25">
        <f t="shared" si="22"/>
        <v>2.41</v>
      </c>
      <c r="Y67" s="25">
        <f t="shared" si="22"/>
        <v>1.659</v>
      </c>
      <c r="Z67" s="25">
        <f t="shared" si="22"/>
        <v>1.841</v>
      </c>
      <c r="AA67" s="25">
        <f t="shared" si="22"/>
        <v>1.762</v>
      </c>
      <c r="AB67" s="25">
        <f t="shared" si="22"/>
        <v>1.804</v>
      </c>
      <c r="AC67" s="25">
        <f t="shared" si="22"/>
        <v>1.0449999999999999</v>
      </c>
      <c r="AD67" s="25">
        <f t="shared" si="22"/>
        <v>1.835</v>
      </c>
      <c r="AE67" s="25">
        <f t="shared" si="22"/>
        <v>2.1139999999999999</v>
      </c>
      <c r="AF67" s="25">
        <f t="shared" si="22"/>
        <v>2.2629999999999999</v>
      </c>
      <c r="AG67" s="25">
        <f t="shared" si="22"/>
        <v>2.661</v>
      </c>
      <c r="AH67" s="25">
        <f t="shared" si="22"/>
        <v>1.9850000000000001</v>
      </c>
      <c r="AL67" s="42"/>
      <c r="AM67" s="42"/>
      <c r="AN67" s="42"/>
    </row>
    <row r="68" spans="1:40" x14ac:dyDescent="0.25">
      <c r="A68" s="1">
        <v>66</v>
      </c>
      <c r="B68" s="2">
        <v>80.932000000000002</v>
      </c>
      <c r="C68" s="2">
        <v>95.05</v>
      </c>
      <c r="D68" s="2">
        <v>176.04900000000001</v>
      </c>
      <c r="E68" s="2">
        <v>1.8919999999999999</v>
      </c>
      <c r="F68" s="2">
        <v>2.4529999999999998</v>
      </c>
      <c r="H68" s="5">
        <v>14</v>
      </c>
      <c r="I68" s="25">
        <f t="shared" si="21"/>
        <v>94.778999999999996</v>
      </c>
      <c r="J68" s="25">
        <f t="shared" si="21"/>
        <v>94.733999999999995</v>
      </c>
      <c r="K68" s="25">
        <f t="shared" si="21"/>
        <v>95.11</v>
      </c>
      <c r="L68" s="25">
        <f t="shared" si="21"/>
        <v>94.91</v>
      </c>
      <c r="M68" s="25">
        <f t="shared" si="21"/>
        <v>94.98</v>
      </c>
      <c r="N68" s="25">
        <f t="shared" si="21"/>
        <v>94.653000000000006</v>
      </c>
      <c r="O68" s="25">
        <f t="shared" si="21"/>
        <v>95.289000000000001</v>
      </c>
      <c r="P68" s="25">
        <f t="shared" si="21"/>
        <v>94.899000000000001</v>
      </c>
      <c r="Q68" s="25">
        <f t="shared" si="21"/>
        <v>94.885999999999996</v>
      </c>
      <c r="R68" s="25">
        <f t="shared" si="21"/>
        <v>95.156000000000006</v>
      </c>
      <c r="S68" s="25">
        <f t="shared" si="21"/>
        <v>94.906999999999996</v>
      </c>
      <c r="T68" s="25">
        <f t="shared" si="21"/>
        <v>94.796999999999997</v>
      </c>
      <c r="U68" s="42"/>
      <c r="V68" s="5">
        <v>14</v>
      </c>
      <c r="W68" s="25">
        <f t="shared" si="22"/>
        <v>1.9339999999999999</v>
      </c>
      <c r="X68" s="25">
        <f t="shared" si="22"/>
        <v>2.3879999999999999</v>
      </c>
      <c r="Y68" s="25">
        <f t="shared" si="22"/>
        <v>1.75</v>
      </c>
      <c r="Z68" s="25">
        <f t="shared" si="22"/>
        <v>2.2509999999999999</v>
      </c>
      <c r="AA68" s="25">
        <f t="shared" si="22"/>
        <v>2.149</v>
      </c>
      <c r="AB68" s="25">
        <f t="shared" si="22"/>
        <v>1.9650000000000001</v>
      </c>
      <c r="AC68" s="25">
        <f t="shared" si="22"/>
        <v>1.776</v>
      </c>
      <c r="AD68" s="25">
        <f t="shared" si="22"/>
        <v>1.587</v>
      </c>
      <c r="AE68" s="25">
        <f t="shared" si="22"/>
        <v>2.093</v>
      </c>
      <c r="AF68" s="25">
        <f t="shared" si="22"/>
        <v>1.75</v>
      </c>
      <c r="AG68" s="25">
        <f t="shared" si="22"/>
        <v>1.8919999999999999</v>
      </c>
      <c r="AH68" s="25">
        <f t="shared" si="22"/>
        <v>1.7010000000000001</v>
      </c>
      <c r="AL68" s="42"/>
      <c r="AM68" s="42"/>
      <c r="AN68" s="42"/>
    </row>
    <row r="69" spans="1:40" x14ac:dyDescent="0.25">
      <c r="A69" s="1">
        <v>67</v>
      </c>
      <c r="B69" s="2">
        <v>81.221999999999994</v>
      </c>
      <c r="C69" s="2">
        <v>94.760999999999996</v>
      </c>
      <c r="D69" s="2">
        <v>175.98400000000001</v>
      </c>
      <c r="E69" s="2">
        <v>2.08</v>
      </c>
      <c r="F69" s="2">
        <v>2.2400000000000002</v>
      </c>
      <c r="H69" s="5">
        <v>15</v>
      </c>
      <c r="I69" s="25">
        <f t="shared" si="21"/>
        <v>95.009</v>
      </c>
      <c r="J69" s="25">
        <f t="shared" si="21"/>
        <v>94.78</v>
      </c>
      <c r="K69" s="25">
        <f t="shared" si="21"/>
        <v>94.71</v>
      </c>
      <c r="L69" s="25">
        <f t="shared" si="21"/>
        <v>94.774000000000001</v>
      </c>
      <c r="M69" s="25">
        <f t="shared" si="21"/>
        <v>95.366</v>
      </c>
      <c r="N69" s="25">
        <f t="shared" si="21"/>
        <v>94.936999999999998</v>
      </c>
      <c r="O69" s="25">
        <f t="shared" si="21"/>
        <v>95.302000000000007</v>
      </c>
      <c r="P69" s="25">
        <f t="shared" si="21"/>
        <v>95.156000000000006</v>
      </c>
      <c r="Q69" s="25">
        <f t="shared" si="21"/>
        <v>95.013999999999996</v>
      </c>
      <c r="R69" s="25">
        <f t="shared" si="21"/>
        <v>95.097999999999999</v>
      </c>
      <c r="S69" s="25">
        <f t="shared" si="21"/>
        <v>94.5</v>
      </c>
      <c r="T69" s="25">
        <f t="shared" si="21"/>
        <v>94.8</v>
      </c>
      <c r="U69" s="42"/>
      <c r="V69" s="5">
        <v>15</v>
      </c>
      <c r="W69" s="25">
        <f t="shared" si="22"/>
        <v>1.9690000000000001</v>
      </c>
      <c r="X69" s="25">
        <f t="shared" si="22"/>
        <v>1.6319999999999999</v>
      </c>
      <c r="Y69" s="25">
        <f t="shared" si="22"/>
        <v>2.1240000000000001</v>
      </c>
      <c r="Z69" s="25">
        <f t="shared" si="22"/>
        <v>2.0150000000000001</v>
      </c>
      <c r="AA69" s="25">
        <f t="shared" si="22"/>
        <v>2.0070000000000001</v>
      </c>
      <c r="AB69" s="25">
        <f t="shared" si="22"/>
        <v>1.77</v>
      </c>
      <c r="AC69" s="25">
        <f t="shared" si="22"/>
        <v>1.4450000000000001</v>
      </c>
      <c r="AD69" s="25">
        <f t="shared" si="22"/>
        <v>1.516</v>
      </c>
      <c r="AE69" s="25">
        <f t="shared" si="22"/>
        <v>2.2290000000000001</v>
      </c>
      <c r="AF69" s="25">
        <f t="shared" si="22"/>
        <v>1.929</v>
      </c>
      <c r="AG69" s="25">
        <f t="shared" si="22"/>
        <v>2.198</v>
      </c>
      <c r="AH69" s="25">
        <f t="shared" si="22"/>
        <v>1.865</v>
      </c>
      <c r="AL69" s="42"/>
      <c r="AM69" s="42"/>
      <c r="AN69" s="42"/>
    </row>
    <row r="70" spans="1:40" x14ac:dyDescent="0.25">
      <c r="A70" s="1">
        <v>68</v>
      </c>
      <c r="B70" s="2">
        <v>81.194000000000003</v>
      </c>
      <c r="C70" s="2">
        <v>94.676000000000002</v>
      </c>
      <c r="D70" s="2">
        <v>175.952</v>
      </c>
      <c r="E70" s="2">
        <v>2.65</v>
      </c>
      <c r="F70" s="2">
        <v>2.72</v>
      </c>
      <c r="H70" s="5">
        <v>16</v>
      </c>
      <c r="I70" s="25">
        <f t="shared" si="21"/>
        <v>94.611000000000004</v>
      </c>
      <c r="J70" s="25">
        <f t="shared" si="21"/>
        <v>94.947000000000003</v>
      </c>
      <c r="K70" s="25">
        <f t="shared" si="21"/>
        <v>94.918999999999997</v>
      </c>
      <c r="L70" s="25">
        <f t="shared" si="21"/>
        <v>94.382000000000005</v>
      </c>
      <c r="M70" s="25">
        <f t="shared" si="21"/>
        <v>94.510999999999996</v>
      </c>
      <c r="N70" s="25">
        <f t="shared" si="21"/>
        <v>94.923000000000002</v>
      </c>
      <c r="O70" s="25">
        <f t="shared" si="21"/>
        <v>95.239000000000004</v>
      </c>
      <c r="P70" s="25">
        <f t="shared" si="21"/>
        <v>94.878</v>
      </c>
      <c r="Q70" s="25">
        <f t="shared" si="21"/>
        <v>95.05</v>
      </c>
      <c r="R70" s="25">
        <f t="shared" si="21"/>
        <v>94.730999999999995</v>
      </c>
      <c r="S70" s="25">
        <f t="shared" si="21"/>
        <v>94.510999999999996</v>
      </c>
      <c r="T70" s="25">
        <f t="shared" si="21"/>
        <v>94.668999999999997</v>
      </c>
      <c r="U70" s="42"/>
      <c r="V70" s="5">
        <v>16</v>
      </c>
      <c r="W70" s="25">
        <f t="shared" si="22"/>
        <v>1.9350000000000001</v>
      </c>
      <c r="X70" s="25">
        <f t="shared" si="22"/>
        <v>2.0939999999999999</v>
      </c>
      <c r="Y70" s="25">
        <f t="shared" si="22"/>
        <v>2.4319999999999999</v>
      </c>
      <c r="Z70" s="25">
        <f t="shared" si="22"/>
        <v>2.1139999999999999</v>
      </c>
      <c r="AA70" s="25">
        <f t="shared" si="22"/>
        <v>2.0830000000000002</v>
      </c>
      <c r="AB70" s="25">
        <f t="shared" si="22"/>
        <v>2.109</v>
      </c>
      <c r="AC70" s="25">
        <f t="shared" si="22"/>
        <v>1.375</v>
      </c>
      <c r="AD70" s="25">
        <f t="shared" si="22"/>
        <v>2.4740000000000002</v>
      </c>
      <c r="AE70" s="25">
        <f t="shared" si="22"/>
        <v>2.4529999999999998</v>
      </c>
      <c r="AF70" s="25">
        <f t="shared" si="22"/>
        <v>2.944</v>
      </c>
      <c r="AG70" s="25">
        <f t="shared" si="22"/>
        <v>2.456</v>
      </c>
      <c r="AH70" s="25">
        <f t="shared" si="22"/>
        <v>2.8</v>
      </c>
      <c r="AL70" s="42"/>
      <c r="AM70" s="50"/>
      <c r="AN70" s="50"/>
    </row>
    <row r="71" spans="1:40" x14ac:dyDescent="0.25">
      <c r="A71" s="1">
        <v>69</v>
      </c>
      <c r="B71" s="2">
        <v>81.335999999999999</v>
      </c>
      <c r="C71" s="2">
        <v>94.385000000000005</v>
      </c>
      <c r="D71" s="2">
        <v>175.798</v>
      </c>
      <c r="E71" s="2">
        <v>2.706</v>
      </c>
      <c r="F71" s="2">
        <v>2.2000000000000002</v>
      </c>
      <c r="H71" s="5">
        <v>17</v>
      </c>
      <c r="I71" s="25">
        <f t="shared" si="21"/>
        <v>95.751999999999995</v>
      </c>
      <c r="J71" s="25">
        <f t="shared" si="21"/>
        <v>94.623999999999995</v>
      </c>
      <c r="K71" s="25">
        <f t="shared" si="21"/>
        <v>94.843000000000004</v>
      </c>
      <c r="L71" s="25">
        <f t="shared" si="21"/>
        <v>94.356999999999999</v>
      </c>
      <c r="M71" s="25">
        <f t="shared" si="21"/>
        <v>94.911000000000001</v>
      </c>
      <c r="N71" s="25">
        <f t="shared" si="21"/>
        <v>94.602999999999994</v>
      </c>
      <c r="O71" s="25">
        <f t="shared" si="21"/>
        <v>95.363</v>
      </c>
      <c r="P71" s="25">
        <f t="shared" si="21"/>
        <v>95.018000000000001</v>
      </c>
      <c r="Q71" s="25">
        <f t="shared" si="21"/>
        <v>94.760999999999996</v>
      </c>
      <c r="R71" s="25">
        <f t="shared" si="21"/>
        <v>95.158000000000001</v>
      </c>
      <c r="S71" s="25">
        <f t="shared" si="21"/>
        <v>94.71</v>
      </c>
      <c r="T71" s="25">
        <f t="shared" si="21"/>
        <v>94.882999999999996</v>
      </c>
      <c r="U71" s="42"/>
      <c r="V71" s="5">
        <v>17</v>
      </c>
      <c r="W71" s="25">
        <f t="shared" si="22"/>
        <v>1.827</v>
      </c>
      <c r="X71" s="25">
        <f t="shared" si="22"/>
        <v>2.1190000000000002</v>
      </c>
      <c r="Y71" s="25">
        <f t="shared" si="22"/>
        <v>2.101</v>
      </c>
      <c r="Z71" s="25">
        <f t="shared" si="22"/>
        <v>1.7909999999999999</v>
      </c>
      <c r="AA71" s="25">
        <f t="shared" si="22"/>
        <v>1.6930000000000001</v>
      </c>
      <c r="AB71" s="25">
        <f t="shared" si="22"/>
        <v>2.3439999999999999</v>
      </c>
      <c r="AC71" s="25">
        <f t="shared" si="22"/>
        <v>1.34</v>
      </c>
      <c r="AD71" s="25">
        <f t="shared" si="22"/>
        <v>1.91</v>
      </c>
      <c r="AE71" s="25">
        <f t="shared" si="22"/>
        <v>2.2400000000000002</v>
      </c>
      <c r="AF71" s="25">
        <f t="shared" si="22"/>
        <v>2.78</v>
      </c>
      <c r="AG71" s="25">
        <f t="shared" si="22"/>
        <v>2.7519999999999998</v>
      </c>
      <c r="AH71" s="25">
        <f t="shared" si="22"/>
        <v>2.4049999999999998</v>
      </c>
      <c r="AL71" s="50"/>
      <c r="AM71" s="50"/>
      <c r="AN71" s="50"/>
    </row>
    <row r="72" spans="1:40" x14ac:dyDescent="0.25">
      <c r="A72" s="1">
        <v>70</v>
      </c>
      <c r="B72" s="2">
        <v>80.921000000000006</v>
      </c>
      <c r="C72" s="2">
        <v>94.873000000000005</v>
      </c>
      <c r="D72" s="2">
        <v>175.77699999999999</v>
      </c>
      <c r="E72" s="2">
        <v>1.948</v>
      </c>
      <c r="F72" s="2">
        <v>2.9820000000000002</v>
      </c>
      <c r="H72" s="5">
        <v>18</v>
      </c>
      <c r="I72" s="25">
        <f t="shared" si="21"/>
        <v>94.82</v>
      </c>
      <c r="J72" s="25">
        <f t="shared" si="21"/>
        <v>95.022999999999996</v>
      </c>
      <c r="K72" s="25">
        <f t="shared" si="21"/>
        <v>95.01</v>
      </c>
      <c r="L72" s="25">
        <f t="shared" si="21"/>
        <v>94.597999999999999</v>
      </c>
      <c r="M72" s="25">
        <f t="shared" si="21"/>
        <v>95.182000000000002</v>
      </c>
      <c r="N72" s="25">
        <f t="shared" si="21"/>
        <v>94.698999999999998</v>
      </c>
      <c r="O72" s="25">
        <f t="shared" si="21"/>
        <v>94.986000000000004</v>
      </c>
      <c r="P72" s="25">
        <f t="shared" si="21"/>
        <v>94.775000000000006</v>
      </c>
      <c r="Q72" s="25">
        <f t="shared" si="21"/>
        <v>94.676000000000002</v>
      </c>
      <c r="R72" s="25">
        <f t="shared" si="21"/>
        <v>95.326999999999998</v>
      </c>
      <c r="S72" s="25">
        <f t="shared" si="21"/>
        <v>94.405000000000001</v>
      </c>
      <c r="T72" s="25">
        <f t="shared" si="21"/>
        <v>94.837999999999994</v>
      </c>
      <c r="U72" s="42"/>
      <c r="V72" s="5">
        <v>18</v>
      </c>
      <c r="W72" s="25">
        <f t="shared" si="22"/>
        <v>2.1190000000000002</v>
      </c>
      <c r="X72" s="25">
        <f t="shared" si="22"/>
        <v>1.921</v>
      </c>
      <c r="Y72" s="25">
        <f t="shared" si="22"/>
        <v>2.056</v>
      </c>
      <c r="Z72" s="25">
        <f t="shared" si="22"/>
        <v>2.0129999999999999</v>
      </c>
      <c r="AA72" s="25">
        <f t="shared" si="22"/>
        <v>2.0289999999999999</v>
      </c>
      <c r="AB72" s="25">
        <f t="shared" si="22"/>
        <v>1.954</v>
      </c>
      <c r="AC72" s="25">
        <f t="shared" si="22"/>
        <v>1.3620000000000001</v>
      </c>
      <c r="AD72" s="25">
        <f t="shared" si="22"/>
        <v>2.1070000000000002</v>
      </c>
      <c r="AE72" s="25">
        <f t="shared" si="22"/>
        <v>2.72</v>
      </c>
      <c r="AF72" s="25">
        <f t="shared" si="22"/>
        <v>2.3439999999999999</v>
      </c>
      <c r="AG72" s="25">
        <f t="shared" si="22"/>
        <v>2.5579999999999998</v>
      </c>
      <c r="AH72" s="25">
        <f t="shared" si="22"/>
        <v>2.0910000000000002</v>
      </c>
      <c r="AL72" s="50"/>
      <c r="AM72" s="50"/>
      <c r="AN72" s="50"/>
    </row>
    <row r="73" spans="1:40" x14ac:dyDescent="0.25">
      <c r="A73" s="1">
        <v>71</v>
      </c>
      <c r="B73" s="2">
        <v>81.5</v>
      </c>
      <c r="C73" s="2">
        <v>94.781000000000006</v>
      </c>
      <c r="D73" s="2">
        <v>176.185</v>
      </c>
      <c r="E73" s="2">
        <v>2.0379999999999998</v>
      </c>
      <c r="F73" s="2">
        <v>2.1309999999999998</v>
      </c>
      <c r="H73" s="5">
        <v>19</v>
      </c>
      <c r="I73" s="25">
        <f t="shared" si="21"/>
        <v>94.593999999999994</v>
      </c>
      <c r="J73" s="25">
        <f t="shared" si="21"/>
        <v>94.673000000000002</v>
      </c>
      <c r="K73" s="25">
        <f t="shared" si="21"/>
        <v>94.625</v>
      </c>
      <c r="L73" s="25">
        <f t="shared" si="21"/>
        <v>95.108999999999995</v>
      </c>
      <c r="M73" s="25">
        <f t="shared" si="21"/>
        <v>94.664000000000001</v>
      </c>
      <c r="N73" s="25">
        <f t="shared" si="21"/>
        <v>95.070999999999998</v>
      </c>
      <c r="O73" s="25">
        <f t="shared" si="21"/>
        <v>94.966999999999999</v>
      </c>
      <c r="P73" s="25">
        <f t="shared" si="21"/>
        <v>94.899000000000001</v>
      </c>
      <c r="Q73" s="25">
        <f t="shared" si="21"/>
        <v>94.385000000000005</v>
      </c>
      <c r="R73" s="25">
        <f t="shared" si="21"/>
        <v>94.668999999999997</v>
      </c>
      <c r="S73" s="25">
        <f t="shared" si="21"/>
        <v>94.682000000000002</v>
      </c>
      <c r="T73" s="25">
        <f t="shared" si="21"/>
        <v>95.049000000000007</v>
      </c>
      <c r="U73" s="42"/>
      <c r="V73" s="5">
        <v>19</v>
      </c>
      <c r="W73" s="25">
        <f t="shared" si="22"/>
        <v>1.5049999999999999</v>
      </c>
      <c r="X73" s="25">
        <f t="shared" si="22"/>
        <v>2.3879999999999999</v>
      </c>
      <c r="Y73" s="25">
        <f t="shared" si="22"/>
        <v>2.5409999999999999</v>
      </c>
      <c r="Z73" s="25">
        <f t="shared" si="22"/>
        <v>2.093</v>
      </c>
      <c r="AA73" s="25">
        <f t="shared" si="22"/>
        <v>1.827</v>
      </c>
      <c r="AB73" s="25">
        <f t="shared" si="22"/>
        <v>1.528</v>
      </c>
      <c r="AC73" s="25">
        <f t="shared" si="22"/>
        <v>1.425</v>
      </c>
      <c r="AD73" s="25">
        <f t="shared" si="22"/>
        <v>2.0139999999999998</v>
      </c>
      <c r="AE73" s="25">
        <f t="shared" si="22"/>
        <v>2.2000000000000002</v>
      </c>
      <c r="AF73" s="25">
        <f t="shared" si="22"/>
        <v>1.903</v>
      </c>
      <c r="AG73" s="25">
        <f t="shared" si="22"/>
        <v>1.49</v>
      </c>
      <c r="AH73" s="25">
        <f t="shared" si="22"/>
        <v>2.7280000000000002</v>
      </c>
      <c r="AL73" s="50"/>
      <c r="AM73" s="50"/>
      <c r="AN73" s="50"/>
    </row>
    <row r="74" spans="1:40" x14ac:dyDescent="0.25">
      <c r="A74" s="1">
        <v>72</v>
      </c>
      <c r="B74" s="2">
        <v>81.286000000000001</v>
      </c>
      <c r="C74" s="2">
        <v>94.82</v>
      </c>
      <c r="D74" s="2">
        <v>176.11799999999999</v>
      </c>
      <c r="E74" s="2">
        <v>2.4670000000000001</v>
      </c>
      <c r="F74" s="2">
        <v>1.9650000000000001</v>
      </c>
      <c r="H74" s="5">
        <v>20</v>
      </c>
      <c r="I74" s="25">
        <f t="shared" si="21"/>
        <v>94.745999999999995</v>
      </c>
      <c r="J74" s="25">
        <f t="shared" si="21"/>
        <v>94.766999999999996</v>
      </c>
      <c r="K74" s="25">
        <f t="shared" si="21"/>
        <v>94.986999999999995</v>
      </c>
      <c r="L74" s="25">
        <f t="shared" si="21"/>
        <v>94.393000000000001</v>
      </c>
      <c r="M74" s="25">
        <f t="shared" si="21"/>
        <v>94.790999999999997</v>
      </c>
      <c r="N74" s="25">
        <f t="shared" si="21"/>
        <v>94.986000000000004</v>
      </c>
      <c r="O74" s="25">
        <f t="shared" si="21"/>
        <v>95.114999999999995</v>
      </c>
      <c r="P74" s="25">
        <f t="shared" si="21"/>
        <v>94.656000000000006</v>
      </c>
      <c r="Q74" s="25">
        <f t="shared" si="21"/>
        <v>94.873000000000005</v>
      </c>
      <c r="R74" s="25">
        <f t="shared" si="21"/>
        <v>94.305999999999997</v>
      </c>
      <c r="S74" s="25">
        <f t="shared" si="21"/>
        <v>94.557000000000002</v>
      </c>
      <c r="T74" s="25">
        <f t="shared" si="21"/>
        <v>94.93</v>
      </c>
      <c r="U74" s="42"/>
      <c r="V74" s="5">
        <v>20</v>
      </c>
      <c r="W74" s="25">
        <f t="shared" si="22"/>
        <v>1.956</v>
      </c>
      <c r="X74" s="25">
        <f t="shared" si="22"/>
        <v>2.2450000000000001</v>
      </c>
      <c r="Y74" s="25">
        <f t="shared" si="22"/>
        <v>2.15</v>
      </c>
      <c r="Z74" s="25">
        <f t="shared" si="22"/>
        <v>2.282</v>
      </c>
      <c r="AA74" s="25">
        <f t="shared" si="22"/>
        <v>1.954</v>
      </c>
      <c r="AB74" s="25">
        <f t="shared" si="22"/>
        <v>2.2290000000000001</v>
      </c>
      <c r="AC74" s="25">
        <f t="shared" si="22"/>
        <v>1.835</v>
      </c>
      <c r="AD74" s="25">
        <f t="shared" si="22"/>
        <v>1.627</v>
      </c>
      <c r="AE74" s="25">
        <f t="shared" si="22"/>
        <v>2.9820000000000002</v>
      </c>
      <c r="AF74" s="25">
        <f t="shared" si="22"/>
        <v>2.222</v>
      </c>
      <c r="AG74" s="25">
        <f t="shared" si="22"/>
        <v>2.6059999999999999</v>
      </c>
      <c r="AH74" s="25">
        <f t="shared" si="22"/>
        <v>2.0640000000000001</v>
      </c>
      <c r="AL74" s="50"/>
      <c r="AM74" s="50"/>
      <c r="AN74" s="50"/>
    </row>
    <row r="75" spans="1:40" x14ac:dyDescent="0.25">
      <c r="A75" s="1">
        <v>73</v>
      </c>
      <c r="B75" s="2">
        <v>81.328000000000003</v>
      </c>
      <c r="C75" s="2">
        <v>94.774000000000001</v>
      </c>
      <c r="D75" s="2">
        <v>176.04499999999999</v>
      </c>
      <c r="E75" s="2">
        <v>1.93</v>
      </c>
      <c r="F75" s="2">
        <v>2.0920000000000001</v>
      </c>
      <c r="H75" s="5">
        <v>21</v>
      </c>
      <c r="I75" s="25">
        <f t="shared" si="21"/>
        <v>94.42</v>
      </c>
      <c r="J75" s="25">
        <f t="shared" si="21"/>
        <v>94.768000000000001</v>
      </c>
      <c r="K75" s="25">
        <f t="shared" si="21"/>
        <v>94.23</v>
      </c>
      <c r="L75" s="25">
        <f t="shared" si="21"/>
        <v>94.558999999999997</v>
      </c>
      <c r="M75" s="25">
        <f t="shared" si="21"/>
        <v>94.784000000000006</v>
      </c>
      <c r="N75" s="25">
        <f t="shared" si="21"/>
        <v>94.918000000000006</v>
      </c>
      <c r="O75" s="25">
        <f t="shared" si="21"/>
        <v>95.385000000000005</v>
      </c>
      <c r="P75" s="25">
        <f t="shared" si="21"/>
        <v>94.754999999999995</v>
      </c>
      <c r="Q75" s="25">
        <f t="shared" si="21"/>
        <v>94.781000000000006</v>
      </c>
      <c r="R75" s="25">
        <f t="shared" si="21"/>
        <v>95.072000000000003</v>
      </c>
      <c r="S75" s="25">
        <f t="shared" si="21"/>
        <v>94.853999999999999</v>
      </c>
      <c r="T75" s="25">
        <f t="shared" si="21"/>
        <v>94.44</v>
      </c>
      <c r="U75" s="42"/>
      <c r="V75" s="5">
        <v>21</v>
      </c>
      <c r="W75" s="25">
        <f t="shared" si="22"/>
        <v>1.8049999999999999</v>
      </c>
      <c r="X75" s="25">
        <f t="shared" si="22"/>
        <v>2.0739999999999998</v>
      </c>
      <c r="Y75" s="25">
        <f t="shared" si="22"/>
        <v>2.4980000000000002</v>
      </c>
      <c r="Z75" s="25">
        <f t="shared" si="22"/>
        <v>1.8049999999999999</v>
      </c>
      <c r="AA75" s="25">
        <f t="shared" si="22"/>
        <v>2.06</v>
      </c>
      <c r="AB75" s="25">
        <f t="shared" si="22"/>
        <v>1.869</v>
      </c>
      <c r="AC75" s="25">
        <f t="shared" si="22"/>
        <v>1.256</v>
      </c>
      <c r="AD75" s="25">
        <f t="shared" si="22"/>
        <v>2.0409999999999999</v>
      </c>
      <c r="AE75" s="25">
        <f t="shared" si="22"/>
        <v>2.1309999999999998</v>
      </c>
      <c r="AF75" s="25">
        <f t="shared" si="22"/>
        <v>2.4489999999999998</v>
      </c>
      <c r="AG75" s="25">
        <f t="shared" si="22"/>
        <v>2.0169999999999999</v>
      </c>
      <c r="AH75" s="25">
        <f t="shared" si="22"/>
        <v>2.274</v>
      </c>
      <c r="AL75" s="50"/>
    </row>
    <row r="76" spans="1:40" x14ac:dyDescent="0.25">
      <c r="A76" s="1">
        <v>74</v>
      </c>
      <c r="B76" s="2">
        <v>81.314999999999998</v>
      </c>
      <c r="C76" s="2">
        <v>94.918000000000006</v>
      </c>
      <c r="D76" s="2">
        <v>176.23599999999999</v>
      </c>
      <c r="E76" s="2">
        <v>2.528</v>
      </c>
      <c r="F76" s="2">
        <v>2.0819999999999999</v>
      </c>
      <c r="H76" s="5">
        <v>22</v>
      </c>
      <c r="I76" s="25">
        <f t="shared" si="21"/>
        <v>95.343000000000004</v>
      </c>
      <c r="J76" s="25">
        <f t="shared" si="21"/>
        <v>94.411000000000001</v>
      </c>
      <c r="K76" s="25">
        <f t="shared" si="21"/>
        <v>94.634</v>
      </c>
      <c r="L76" s="25">
        <f t="shared" si="21"/>
        <v>94.460999999999999</v>
      </c>
      <c r="M76" s="25">
        <f t="shared" si="21"/>
        <v>94.703999999999994</v>
      </c>
      <c r="N76" s="25">
        <f t="shared" si="21"/>
        <v>94.872</v>
      </c>
      <c r="O76" s="25">
        <f t="shared" si="21"/>
        <v>94.98</v>
      </c>
      <c r="P76" s="25">
        <f t="shared" si="21"/>
        <v>95.034999999999997</v>
      </c>
      <c r="Q76" s="25">
        <f t="shared" si="21"/>
        <v>94.82</v>
      </c>
      <c r="R76" s="25">
        <f t="shared" si="21"/>
        <v>95.575000000000003</v>
      </c>
      <c r="S76" s="25">
        <f t="shared" si="21"/>
        <v>94.513999999999996</v>
      </c>
      <c r="T76" s="25">
        <f t="shared" si="21"/>
        <v>94.775999999999996</v>
      </c>
      <c r="U76" s="42"/>
      <c r="V76" s="5">
        <v>22</v>
      </c>
      <c r="W76" s="25">
        <f t="shared" si="22"/>
        <v>1.8009999999999999</v>
      </c>
      <c r="X76" s="25">
        <f t="shared" si="22"/>
        <v>2.5550000000000002</v>
      </c>
      <c r="Y76" s="25">
        <f t="shared" si="22"/>
        <v>1.83</v>
      </c>
      <c r="Z76" s="25">
        <f t="shared" si="22"/>
        <v>1.9630000000000001</v>
      </c>
      <c r="AA76" s="25">
        <f t="shared" si="22"/>
        <v>1.7649999999999999</v>
      </c>
      <c r="AB76" s="25">
        <f t="shared" si="22"/>
        <v>1.4350000000000001</v>
      </c>
      <c r="AC76" s="25">
        <f t="shared" si="22"/>
        <v>1.458</v>
      </c>
      <c r="AD76" s="25">
        <f t="shared" si="22"/>
        <v>1.923</v>
      </c>
      <c r="AE76" s="25">
        <f t="shared" si="22"/>
        <v>1.9650000000000001</v>
      </c>
      <c r="AF76" s="25">
        <f t="shared" si="22"/>
        <v>1.98</v>
      </c>
      <c r="AG76" s="25">
        <f t="shared" si="22"/>
        <v>2.081</v>
      </c>
      <c r="AH76" s="25">
        <f t="shared" si="22"/>
        <v>2.1150000000000002</v>
      </c>
    </row>
    <row r="77" spans="1:40" x14ac:dyDescent="0.25">
      <c r="A77" s="1">
        <v>75</v>
      </c>
      <c r="B77" s="2">
        <v>81.418000000000006</v>
      </c>
      <c r="C77" s="2">
        <v>94.784999999999997</v>
      </c>
      <c r="D77" s="2">
        <v>176.15199999999999</v>
      </c>
      <c r="E77" s="2">
        <v>2.3130000000000002</v>
      </c>
      <c r="F77" s="2">
        <v>2.351</v>
      </c>
      <c r="H77" s="5">
        <v>23</v>
      </c>
      <c r="I77" s="25">
        <f t="shared" si="21"/>
        <v>94.811000000000007</v>
      </c>
      <c r="J77" s="25">
        <f t="shared" si="21"/>
        <v>94.13</v>
      </c>
      <c r="K77" s="25">
        <f t="shared" si="21"/>
        <v>94.552999999999997</v>
      </c>
      <c r="L77" s="25">
        <f t="shared" si="21"/>
        <v>94.899000000000001</v>
      </c>
      <c r="M77" s="25">
        <f t="shared" si="21"/>
        <v>94.554000000000002</v>
      </c>
      <c r="N77" s="25">
        <f t="shared" si="21"/>
        <v>94.606999999999999</v>
      </c>
      <c r="O77" s="25">
        <f t="shared" si="21"/>
        <v>95.049000000000007</v>
      </c>
      <c r="P77" s="25">
        <f t="shared" si="21"/>
        <v>94.649000000000001</v>
      </c>
      <c r="Q77" s="25">
        <f t="shared" si="21"/>
        <v>94.774000000000001</v>
      </c>
      <c r="R77" s="25">
        <f t="shared" si="21"/>
        <v>95.34</v>
      </c>
      <c r="S77" s="25">
        <f t="shared" si="21"/>
        <v>94.326999999999998</v>
      </c>
      <c r="T77" s="25">
        <f t="shared" si="21"/>
        <v>94.703000000000003</v>
      </c>
      <c r="U77" s="42"/>
      <c r="V77" s="5">
        <v>23</v>
      </c>
      <c r="W77" s="25">
        <f t="shared" si="22"/>
        <v>2.0270000000000001</v>
      </c>
      <c r="X77" s="25">
        <f t="shared" si="22"/>
        <v>1.7490000000000001</v>
      </c>
      <c r="Y77" s="25">
        <f t="shared" si="22"/>
        <v>2.1890000000000001</v>
      </c>
      <c r="Z77" s="25">
        <f t="shared" si="22"/>
        <v>2.12</v>
      </c>
      <c r="AA77" s="25">
        <f t="shared" si="22"/>
        <v>1.5549999999999999</v>
      </c>
      <c r="AB77" s="25">
        <f t="shared" si="22"/>
        <v>1.9279999999999999</v>
      </c>
      <c r="AC77" s="25">
        <f t="shared" si="22"/>
        <v>1.3049999999999999</v>
      </c>
      <c r="AD77" s="25">
        <f t="shared" si="22"/>
        <v>1.879</v>
      </c>
      <c r="AE77" s="25">
        <f t="shared" si="22"/>
        <v>2.0920000000000001</v>
      </c>
      <c r="AF77" s="25">
        <f t="shared" si="22"/>
        <v>2.0950000000000002</v>
      </c>
      <c r="AG77" s="25">
        <f t="shared" si="22"/>
        <v>1.528</v>
      </c>
      <c r="AH77" s="25">
        <f t="shared" si="22"/>
        <v>1.5649999999999999</v>
      </c>
    </row>
    <row r="78" spans="1:40" x14ac:dyDescent="0.25">
      <c r="A78" s="1">
        <v>76</v>
      </c>
      <c r="B78" s="2">
        <v>81.126999999999995</v>
      </c>
      <c r="C78" s="2">
        <v>94.828000000000003</v>
      </c>
      <c r="D78" s="2">
        <v>175.93199999999999</v>
      </c>
      <c r="E78" s="2">
        <v>2.081</v>
      </c>
      <c r="F78" s="2">
        <v>1.982</v>
      </c>
      <c r="H78" s="5">
        <v>24</v>
      </c>
      <c r="I78" s="25">
        <f t="shared" si="21"/>
        <v>94.983000000000004</v>
      </c>
      <c r="J78" s="25">
        <f t="shared" si="21"/>
        <v>94.495999999999995</v>
      </c>
      <c r="K78" s="25">
        <f t="shared" si="21"/>
        <v>94.962000000000003</v>
      </c>
      <c r="L78" s="25">
        <f t="shared" si="21"/>
        <v>94.454999999999998</v>
      </c>
      <c r="M78" s="25">
        <f t="shared" si="21"/>
        <v>94.497</v>
      </c>
      <c r="N78" s="25">
        <f t="shared" si="21"/>
        <v>94.941000000000003</v>
      </c>
      <c r="O78" s="25">
        <f t="shared" si="21"/>
        <v>94.894000000000005</v>
      </c>
      <c r="P78" s="25">
        <f t="shared" si="21"/>
        <v>94.924000000000007</v>
      </c>
      <c r="Q78" s="25">
        <f t="shared" si="21"/>
        <v>94.918000000000006</v>
      </c>
      <c r="R78" s="25">
        <f t="shared" si="21"/>
        <v>94.501000000000005</v>
      </c>
      <c r="S78" s="25">
        <f t="shared" si="21"/>
        <v>94.734999999999999</v>
      </c>
      <c r="T78" s="25">
        <f t="shared" si="21"/>
        <v>94.572999999999993</v>
      </c>
      <c r="U78" s="42"/>
      <c r="V78" s="5">
        <v>24</v>
      </c>
      <c r="W78" s="25">
        <f t="shared" si="22"/>
        <v>1.925</v>
      </c>
      <c r="X78" s="25">
        <f t="shared" si="22"/>
        <v>2.2149999999999999</v>
      </c>
      <c r="Y78" s="25">
        <f t="shared" si="22"/>
        <v>1.6639999999999999</v>
      </c>
      <c r="Z78" s="25">
        <f t="shared" si="22"/>
        <v>2.0030000000000001</v>
      </c>
      <c r="AA78" s="25">
        <f t="shared" si="22"/>
        <v>1.665</v>
      </c>
      <c r="AB78" s="25">
        <f t="shared" si="22"/>
        <v>2.218</v>
      </c>
      <c r="AC78" s="25">
        <f t="shared" si="22"/>
        <v>1.488</v>
      </c>
      <c r="AD78" s="25">
        <f t="shared" si="22"/>
        <v>1.9990000000000001</v>
      </c>
      <c r="AE78" s="25">
        <f t="shared" si="22"/>
        <v>2.0819999999999999</v>
      </c>
      <c r="AF78" s="25">
        <f t="shared" si="22"/>
        <v>1.899</v>
      </c>
      <c r="AG78" s="25">
        <f t="shared" si="22"/>
        <v>1.7529999999999999</v>
      </c>
      <c r="AH78" s="25">
        <f t="shared" si="22"/>
        <v>2.1040000000000001</v>
      </c>
    </row>
    <row r="79" spans="1:40" x14ac:dyDescent="0.25">
      <c r="A79" s="1">
        <v>77</v>
      </c>
      <c r="B79" s="2">
        <v>81.789000000000001</v>
      </c>
      <c r="C79" s="2">
        <v>94.004999999999995</v>
      </c>
      <c r="D79" s="2">
        <v>175.81200000000001</v>
      </c>
      <c r="E79" s="2">
        <v>2.1930000000000001</v>
      </c>
      <c r="F79" s="2">
        <v>2.0720000000000001</v>
      </c>
      <c r="H79" s="6">
        <v>25</v>
      </c>
      <c r="I79" s="25">
        <f t="shared" si="21"/>
        <v>94.557000000000002</v>
      </c>
      <c r="J79" s="25">
        <f t="shared" si="21"/>
        <v>94.519000000000005</v>
      </c>
      <c r="K79" s="25">
        <f t="shared" si="21"/>
        <v>95.144000000000005</v>
      </c>
      <c r="L79" s="25">
        <f t="shared" si="21"/>
        <v>94.566000000000003</v>
      </c>
      <c r="M79" s="25">
        <f t="shared" si="21"/>
        <v>94.465999999999994</v>
      </c>
      <c r="N79" s="25">
        <f t="shared" si="21"/>
        <v>95.036000000000001</v>
      </c>
      <c r="O79" s="25">
        <f t="shared" si="21"/>
        <v>94.924000000000007</v>
      </c>
      <c r="P79" s="25">
        <f t="shared" si="21"/>
        <v>94.685000000000002</v>
      </c>
      <c r="Q79" s="25">
        <f t="shared" si="21"/>
        <v>94.784999999999997</v>
      </c>
      <c r="R79" s="25">
        <f t="shared" si="21"/>
        <v>94.046000000000006</v>
      </c>
      <c r="S79" s="25">
        <f t="shared" si="21"/>
        <v>94.566999999999993</v>
      </c>
      <c r="T79" s="25">
        <f t="shared" si="21"/>
        <v>94.828999999999994</v>
      </c>
      <c r="U79" s="42"/>
      <c r="V79" s="6">
        <v>25</v>
      </c>
      <c r="W79" s="25">
        <f t="shared" si="22"/>
        <v>1.7150000000000001</v>
      </c>
      <c r="X79" s="25">
        <f t="shared" si="22"/>
        <v>1.472</v>
      </c>
      <c r="Y79" s="25">
        <f t="shared" si="22"/>
        <v>1.6930000000000001</v>
      </c>
      <c r="Z79" s="25">
        <f t="shared" si="22"/>
        <v>1.724</v>
      </c>
      <c r="AA79" s="25">
        <f t="shared" si="22"/>
        <v>1.8520000000000001</v>
      </c>
      <c r="AB79" s="25">
        <f t="shared" si="22"/>
        <v>2.4329999999999998</v>
      </c>
      <c r="AC79" s="25">
        <f t="shared" si="22"/>
        <v>1.6910000000000001</v>
      </c>
      <c r="AD79" s="25">
        <f t="shared" si="22"/>
        <v>2.052</v>
      </c>
      <c r="AE79" s="25">
        <f t="shared" si="22"/>
        <v>2.351</v>
      </c>
      <c r="AF79" s="25">
        <f t="shared" si="22"/>
        <v>1.7450000000000001</v>
      </c>
      <c r="AG79" s="25">
        <f t="shared" si="22"/>
        <v>2.2530000000000001</v>
      </c>
      <c r="AH79" s="25">
        <f t="shared" si="22"/>
        <v>2.3149999999999999</v>
      </c>
    </row>
    <row r="80" spans="1:40" x14ac:dyDescent="0.25">
      <c r="A80" s="1">
        <v>78</v>
      </c>
      <c r="B80" s="2">
        <v>81.149000000000001</v>
      </c>
      <c r="C80" s="2">
        <v>94.763999999999996</v>
      </c>
      <c r="D80" s="2">
        <v>175.84899999999999</v>
      </c>
      <c r="E80" s="2">
        <v>2.0230000000000001</v>
      </c>
      <c r="F80" s="2">
        <v>2.3639999999999999</v>
      </c>
      <c r="H80" s="22" t="s">
        <v>0</v>
      </c>
      <c r="I80" s="13">
        <f t="shared" ref="I80:T80" si="23">AVERAGE(I55:I79)</f>
        <v>94.891679999999994</v>
      </c>
      <c r="J80" s="14">
        <f t="shared" si="23"/>
        <v>94.723919999999993</v>
      </c>
      <c r="K80" s="14">
        <f t="shared" si="23"/>
        <v>94.814320000000009</v>
      </c>
      <c r="L80" s="14">
        <f t="shared" si="23"/>
        <v>94.647519999999986</v>
      </c>
      <c r="M80" s="14">
        <f t="shared" si="23"/>
        <v>94.826399999999992</v>
      </c>
      <c r="N80" s="14">
        <f t="shared" si="23"/>
        <v>94.98399999999998</v>
      </c>
      <c r="O80" s="14">
        <f t="shared" si="23"/>
        <v>95.212639999999993</v>
      </c>
      <c r="P80" s="14">
        <f t="shared" si="23"/>
        <v>94.858519999999984</v>
      </c>
      <c r="Q80" s="14">
        <f t="shared" si="23"/>
        <v>94.793959999999984</v>
      </c>
      <c r="R80" s="14">
        <f t="shared" si="23"/>
        <v>94.807479999999998</v>
      </c>
      <c r="S80" s="14">
        <f t="shared" si="23"/>
        <v>94.647080000000003</v>
      </c>
      <c r="T80" s="15">
        <f t="shared" si="23"/>
        <v>94.788479999999993</v>
      </c>
      <c r="U80" s="50"/>
      <c r="V80" s="22" t="s">
        <v>0</v>
      </c>
      <c r="W80" s="13">
        <f>AVERAGE(W55:W79)</f>
        <v>1.9422000000000004</v>
      </c>
      <c r="X80" s="14">
        <f t="shared" ref="X80:AH80" si="24">AVERAGE(X55:X79)</f>
        <v>2.0677599999999998</v>
      </c>
      <c r="Y80" s="14">
        <f t="shared" si="24"/>
        <v>2.0884399999999994</v>
      </c>
      <c r="Z80" s="14">
        <f t="shared" si="24"/>
        <v>1.9446799999999995</v>
      </c>
      <c r="AA80" s="14">
        <f t="shared" si="24"/>
        <v>1.84368</v>
      </c>
      <c r="AB80" s="14">
        <f t="shared" si="24"/>
        <v>1.9373999999999998</v>
      </c>
      <c r="AC80" s="14">
        <f t="shared" si="24"/>
        <v>1.4574400000000003</v>
      </c>
      <c r="AD80" s="14">
        <f t="shared" si="24"/>
        <v>1.9703200000000003</v>
      </c>
      <c r="AE80" s="14">
        <f t="shared" si="24"/>
        <v>2.1531199999999999</v>
      </c>
      <c r="AF80" s="14">
        <f t="shared" si="24"/>
        <v>2.1437599999999999</v>
      </c>
      <c r="AG80" s="14">
        <f t="shared" si="24"/>
        <v>2.2228400000000006</v>
      </c>
      <c r="AH80" s="15">
        <f t="shared" si="24"/>
        <v>2.1534800000000001</v>
      </c>
    </row>
    <row r="81" spans="1:34" x14ac:dyDescent="0.25">
      <c r="A81" s="1">
        <v>79</v>
      </c>
      <c r="B81" s="2">
        <v>81.168000000000006</v>
      </c>
      <c r="C81" s="2">
        <v>94.593000000000004</v>
      </c>
      <c r="D81" s="2">
        <v>175.762</v>
      </c>
      <c r="E81" s="2">
        <v>1.9590000000000001</v>
      </c>
      <c r="F81" s="2">
        <v>1.986</v>
      </c>
      <c r="H81" s="23" t="s">
        <v>1</v>
      </c>
      <c r="I81" s="16">
        <f>3*STDEV(I55:I79)</f>
        <v>1.0148686072590858</v>
      </c>
      <c r="J81" s="17">
        <f t="shared" ref="J81:T81" si="25">3*STDEV(J55:J79)</f>
        <v>0.67376326703078848</v>
      </c>
      <c r="K81" s="17">
        <f t="shared" si="25"/>
        <v>0.63047703368164165</v>
      </c>
      <c r="L81" s="17">
        <f t="shared" si="25"/>
        <v>0.82343220121634431</v>
      </c>
      <c r="M81" s="17">
        <f t="shared" si="25"/>
        <v>0.71650924627669954</v>
      </c>
      <c r="N81" s="17">
        <f t="shared" si="25"/>
        <v>0.61808676575380717</v>
      </c>
      <c r="O81" s="17">
        <f t="shared" si="25"/>
        <v>0.55467414758576761</v>
      </c>
      <c r="P81" s="17">
        <f t="shared" si="25"/>
        <v>0.51809032996187188</v>
      </c>
      <c r="Q81" s="17">
        <f t="shared" si="25"/>
        <v>0.55742072082045513</v>
      </c>
      <c r="R81" s="17">
        <f t="shared" si="25"/>
        <v>1.206457351090374</v>
      </c>
      <c r="S81" s="17">
        <f t="shared" si="25"/>
        <v>0.58099005154993977</v>
      </c>
      <c r="T81" s="18">
        <f t="shared" si="25"/>
        <v>0.60240712147185527</v>
      </c>
      <c r="U81" s="50"/>
      <c r="V81" s="23" t="s">
        <v>1</v>
      </c>
      <c r="W81" s="16">
        <f>3*STDEV(W55:W79)</f>
        <v>0.48380832981667454</v>
      </c>
      <c r="X81" s="17">
        <f t="shared" ref="X81:AH81" si="26">3*STDEV(X55:X79)</f>
        <v>0.86034612802058208</v>
      </c>
      <c r="Y81" s="17">
        <f t="shared" si="26"/>
        <v>0.95985392638673184</v>
      </c>
      <c r="Z81" s="17">
        <f t="shared" si="26"/>
        <v>0.56849849604022706</v>
      </c>
      <c r="AA81" s="17">
        <f t="shared" si="26"/>
        <v>0.54037398160903349</v>
      </c>
      <c r="AB81" s="17">
        <f t="shared" si="26"/>
        <v>0.81372615172428153</v>
      </c>
      <c r="AC81" s="17">
        <f t="shared" si="26"/>
        <v>0.65319737445889048</v>
      </c>
      <c r="AD81" s="17">
        <f t="shared" si="26"/>
        <v>0.87114309387149369</v>
      </c>
      <c r="AE81" s="17">
        <f t="shared" si="26"/>
        <v>0.76385665540073866</v>
      </c>
      <c r="AF81" s="17">
        <f t="shared" si="26"/>
        <v>0.88969065410400239</v>
      </c>
      <c r="AG81" s="17">
        <f t="shared" si="26"/>
        <v>1.1140630637445839</v>
      </c>
      <c r="AH81" s="18">
        <f t="shared" si="26"/>
        <v>0.97472116012734855</v>
      </c>
    </row>
    <row r="82" spans="1:34" x14ac:dyDescent="0.25">
      <c r="A82" s="1">
        <v>80</v>
      </c>
      <c r="B82" s="2">
        <v>81.391000000000005</v>
      </c>
      <c r="C82" s="2">
        <v>94.801000000000002</v>
      </c>
      <c r="D82" s="2">
        <v>176.23099999999999</v>
      </c>
      <c r="E82" s="2">
        <v>1.8759999999999999</v>
      </c>
      <c r="F82" s="2">
        <v>1.98</v>
      </c>
      <c r="H82" s="23" t="s">
        <v>2</v>
      </c>
      <c r="I82" s="16">
        <f>MAX(I55:I79)</f>
        <v>95.751999999999995</v>
      </c>
      <c r="J82" s="17">
        <f t="shared" ref="J82:T82" si="27">MAX(J55:J79)</f>
        <v>95.06</v>
      </c>
      <c r="K82" s="17">
        <f t="shared" si="27"/>
        <v>95.18</v>
      </c>
      <c r="L82" s="17">
        <f t="shared" si="27"/>
        <v>95.197999999999993</v>
      </c>
      <c r="M82" s="17">
        <f t="shared" si="27"/>
        <v>95.366</v>
      </c>
      <c r="N82" s="17">
        <f t="shared" si="27"/>
        <v>95.534000000000006</v>
      </c>
      <c r="O82" s="17">
        <f t="shared" si="27"/>
        <v>95.47</v>
      </c>
      <c r="P82" s="17">
        <f t="shared" si="27"/>
        <v>95.185000000000002</v>
      </c>
      <c r="Q82" s="17">
        <f t="shared" si="27"/>
        <v>95.111999999999995</v>
      </c>
      <c r="R82" s="17">
        <f t="shared" si="27"/>
        <v>95.575000000000003</v>
      </c>
      <c r="S82" s="17">
        <f t="shared" si="27"/>
        <v>95.006</v>
      </c>
      <c r="T82" s="18">
        <f t="shared" si="27"/>
        <v>95.361000000000004</v>
      </c>
      <c r="U82" s="50"/>
      <c r="V82" s="23" t="s">
        <v>2</v>
      </c>
      <c r="W82" s="16">
        <f>MAX(W55:W79)</f>
        <v>2.2250000000000001</v>
      </c>
      <c r="X82" s="17">
        <f t="shared" ref="X82:AH82" si="28">MAX(X55:X79)</f>
        <v>2.5550000000000002</v>
      </c>
      <c r="Y82" s="17">
        <f t="shared" si="28"/>
        <v>2.6989999999999998</v>
      </c>
      <c r="Z82" s="17">
        <f t="shared" si="28"/>
        <v>2.3010000000000002</v>
      </c>
      <c r="AA82" s="17">
        <f t="shared" si="28"/>
        <v>2.16</v>
      </c>
      <c r="AB82" s="17">
        <f t="shared" si="28"/>
        <v>2.4329999999999998</v>
      </c>
      <c r="AC82" s="17">
        <f t="shared" si="28"/>
        <v>1.835</v>
      </c>
      <c r="AD82" s="17">
        <f t="shared" si="28"/>
        <v>2.5299999999999998</v>
      </c>
      <c r="AE82" s="17">
        <f t="shared" si="28"/>
        <v>2.9820000000000002</v>
      </c>
      <c r="AF82" s="17">
        <f t="shared" si="28"/>
        <v>2.944</v>
      </c>
      <c r="AG82" s="17">
        <f t="shared" si="28"/>
        <v>2.7629999999999999</v>
      </c>
      <c r="AH82" s="18">
        <f t="shared" si="28"/>
        <v>2.8</v>
      </c>
    </row>
    <row r="83" spans="1:34" x14ac:dyDescent="0.25">
      <c r="A83" s="1">
        <v>81</v>
      </c>
      <c r="B83" s="2">
        <v>81.278000000000006</v>
      </c>
      <c r="C83" s="2">
        <v>94.528999999999996</v>
      </c>
      <c r="D83" s="2">
        <v>175.77199999999999</v>
      </c>
      <c r="E83" s="2">
        <v>2.1800000000000002</v>
      </c>
      <c r="F83" s="2">
        <v>2.1739999999999999</v>
      </c>
      <c r="H83" s="23" t="s">
        <v>3</v>
      </c>
      <c r="I83" s="16">
        <f>MIN(I55:I79)</f>
        <v>94.42</v>
      </c>
      <c r="J83" s="17">
        <f t="shared" ref="J83:T83" si="29">MIN(J55:J79)</f>
        <v>94.13</v>
      </c>
      <c r="K83" s="17">
        <f t="shared" si="29"/>
        <v>94.23</v>
      </c>
      <c r="L83" s="17">
        <f t="shared" si="29"/>
        <v>94.224000000000004</v>
      </c>
      <c r="M83" s="17">
        <f t="shared" si="29"/>
        <v>94.465999999999994</v>
      </c>
      <c r="N83" s="17">
        <f t="shared" si="29"/>
        <v>94.602999999999994</v>
      </c>
      <c r="O83" s="17">
        <f t="shared" si="29"/>
        <v>94.894000000000005</v>
      </c>
      <c r="P83" s="17">
        <f t="shared" si="29"/>
        <v>94.593000000000004</v>
      </c>
      <c r="Q83" s="17">
        <f t="shared" si="29"/>
        <v>94.385000000000005</v>
      </c>
      <c r="R83" s="17">
        <f t="shared" si="29"/>
        <v>94.004999999999995</v>
      </c>
      <c r="S83" s="17">
        <f t="shared" si="29"/>
        <v>94.281999999999996</v>
      </c>
      <c r="T83" s="18">
        <f t="shared" si="29"/>
        <v>94.44</v>
      </c>
      <c r="U83" s="50"/>
      <c r="V83" s="23" t="s">
        <v>3</v>
      </c>
      <c r="W83" s="16">
        <f>MIN(W55:W79)</f>
        <v>1.5049999999999999</v>
      </c>
      <c r="X83" s="17">
        <f t="shared" ref="X83:AH83" si="30">MIN(X55:X79)</f>
        <v>1.472</v>
      </c>
      <c r="Y83" s="17">
        <f t="shared" si="30"/>
        <v>1.5880000000000001</v>
      </c>
      <c r="Z83" s="17">
        <f t="shared" si="30"/>
        <v>1.5620000000000001</v>
      </c>
      <c r="AA83" s="17">
        <f t="shared" si="30"/>
        <v>1.5549999999999999</v>
      </c>
      <c r="AB83" s="17">
        <f t="shared" si="30"/>
        <v>1.4350000000000001</v>
      </c>
      <c r="AC83" s="17">
        <f t="shared" si="30"/>
        <v>1.0449999999999999</v>
      </c>
      <c r="AD83" s="17">
        <f t="shared" si="30"/>
        <v>1.427</v>
      </c>
      <c r="AE83" s="17">
        <f t="shared" si="30"/>
        <v>1.869</v>
      </c>
      <c r="AF83" s="17">
        <f t="shared" si="30"/>
        <v>1.7450000000000001</v>
      </c>
      <c r="AG83" s="17">
        <f t="shared" si="30"/>
        <v>1.49</v>
      </c>
      <c r="AH83" s="18">
        <f t="shared" si="30"/>
        <v>1.5649999999999999</v>
      </c>
    </row>
    <row r="84" spans="1:34" x14ac:dyDescent="0.25">
      <c r="A84" s="1">
        <v>82</v>
      </c>
      <c r="B84" s="2">
        <v>81.915999999999997</v>
      </c>
      <c r="C84" s="2">
        <v>94.161000000000001</v>
      </c>
      <c r="D84" s="2">
        <v>176.02</v>
      </c>
      <c r="E84" s="2">
        <v>1.97</v>
      </c>
      <c r="F84" s="2">
        <v>1.91</v>
      </c>
      <c r="H84" s="24" t="s">
        <v>4</v>
      </c>
      <c r="I84" s="19">
        <f t="shared" ref="I84:T84" si="31">I82-I83</f>
        <v>1.3319999999999936</v>
      </c>
      <c r="J84" s="20">
        <f t="shared" si="31"/>
        <v>0.93000000000000682</v>
      </c>
      <c r="K84" s="20">
        <f t="shared" si="31"/>
        <v>0.95000000000000284</v>
      </c>
      <c r="L84" s="20">
        <f t="shared" si="31"/>
        <v>0.97399999999998954</v>
      </c>
      <c r="M84" s="20">
        <f t="shared" si="31"/>
        <v>0.90000000000000568</v>
      </c>
      <c r="N84" s="20">
        <f t="shared" si="31"/>
        <v>0.9310000000000116</v>
      </c>
      <c r="O84" s="20">
        <f t="shared" si="31"/>
        <v>0.57599999999999341</v>
      </c>
      <c r="P84" s="20">
        <f t="shared" si="31"/>
        <v>0.59199999999999875</v>
      </c>
      <c r="Q84" s="20">
        <f t="shared" si="31"/>
        <v>0.72699999999998965</v>
      </c>
      <c r="R84" s="20">
        <f t="shared" si="31"/>
        <v>1.5700000000000074</v>
      </c>
      <c r="S84" s="20">
        <f t="shared" si="31"/>
        <v>0.72400000000000375</v>
      </c>
      <c r="T84" s="21">
        <f t="shared" si="31"/>
        <v>0.92100000000000648</v>
      </c>
      <c r="U84" s="50"/>
      <c r="V84" s="24" t="s">
        <v>4</v>
      </c>
      <c r="W84" s="19">
        <f>W82-W83</f>
        <v>0.7200000000000002</v>
      </c>
      <c r="X84" s="20">
        <f t="shared" ref="X84:AH84" si="32">X82-X83</f>
        <v>1.0830000000000002</v>
      </c>
      <c r="Y84" s="20">
        <f t="shared" si="32"/>
        <v>1.1109999999999998</v>
      </c>
      <c r="Z84" s="20">
        <f t="shared" si="32"/>
        <v>0.7390000000000001</v>
      </c>
      <c r="AA84" s="20">
        <f t="shared" si="32"/>
        <v>0.6050000000000002</v>
      </c>
      <c r="AB84" s="20">
        <f t="shared" si="32"/>
        <v>0.99799999999999978</v>
      </c>
      <c r="AC84" s="20">
        <f t="shared" si="32"/>
        <v>0.79</v>
      </c>
      <c r="AD84" s="20">
        <f t="shared" si="32"/>
        <v>1.1029999999999998</v>
      </c>
      <c r="AE84" s="20">
        <f t="shared" si="32"/>
        <v>1.1130000000000002</v>
      </c>
      <c r="AF84" s="20">
        <f t="shared" si="32"/>
        <v>1.1989999999999998</v>
      </c>
      <c r="AG84" s="20">
        <f t="shared" si="32"/>
        <v>1.2729999999999999</v>
      </c>
      <c r="AH84" s="21">
        <f t="shared" si="32"/>
        <v>1.2349999999999999</v>
      </c>
    </row>
    <row r="85" spans="1:34" x14ac:dyDescent="0.25">
      <c r="A85" s="1">
        <v>83</v>
      </c>
      <c r="B85" s="2">
        <v>80.924000000000007</v>
      </c>
      <c r="C85" s="2">
        <v>95.055999999999997</v>
      </c>
      <c r="D85" s="2">
        <v>176.05099999999999</v>
      </c>
      <c r="E85" s="2">
        <v>2.0459999999999998</v>
      </c>
      <c r="F85" s="2">
        <v>2.1269999999999998</v>
      </c>
    </row>
    <row r="86" spans="1:34" x14ac:dyDescent="0.25">
      <c r="A86" s="1">
        <v>84</v>
      </c>
      <c r="B86" s="2">
        <v>81.33</v>
      </c>
      <c r="C86" s="2">
        <v>94.801000000000002</v>
      </c>
      <c r="D86" s="2">
        <v>176.21700000000001</v>
      </c>
      <c r="E86" s="2">
        <v>2.0539999999999998</v>
      </c>
      <c r="F86" s="2">
        <v>2.548</v>
      </c>
      <c r="H86" s="11" t="str">
        <f>$D$2</f>
        <v>Pitch</v>
      </c>
      <c r="I86" s="33">
        <v>-90</v>
      </c>
      <c r="J86" s="33">
        <v>-75</v>
      </c>
      <c r="K86" s="33">
        <v>-60</v>
      </c>
      <c r="L86" s="33">
        <v>-45</v>
      </c>
      <c r="M86" s="33">
        <v>-30</v>
      </c>
      <c r="N86" s="33">
        <v>-15</v>
      </c>
      <c r="O86" s="33">
        <v>0</v>
      </c>
      <c r="P86" s="33">
        <v>15</v>
      </c>
      <c r="Q86" s="33">
        <v>30</v>
      </c>
      <c r="R86" s="33">
        <v>45</v>
      </c>
      <c r="S86" s="33">
        <v>60</v>
      </c>
      <c r="T86" s="33">
        <v>75</v>
      </c>
      <c r="U86" s="49"/>
      <c r="V86" s="49"/>
      <c r="W86" s="49"/>
    </row>
    <row r="87" spans="1:34" x14ac:dyDescent="0.25">
      <c r="A87" s="1">
        <v>85</v>
      </c>
      <c r="B87" s="2">
        <v>81.244</v>
      </c>
      <c r="C87" s="2">
        <v>94.831999999999994</v>
      </c>
      <c r="D87" s="2">
        <v>176.14500000000001</v>
      </c>
      <c r="E87" s="2">
        <v>2.036</v>
      </c>
      <c r="F87" s="2">
        <v>1.986</v>
      </c>
      <c r="H87" s="4">
        <v>1</v>
      </c>
      <c r="I87" s="25">
        <f>INDEX($D$3:$D$327,$H87+(I$21-1)*25,1)</f>
        <v>175.58799999999999</v>
      </c>
      <c r="J87" s="25">
        <f t="shared" ref="I87:T96" si="33">INDEX($D$3:$D$327,$H87+(J$21-1)*25,1)</f>
        <v>176.209</v>
      </c>
      <c r="K87" s="25">
        <f t="shared" si="33"/>
        <v>176.19900000000001</v>
      </c>
      <c r="L87" s="25">
        <f t="shared" si="33"/>
        <v>176.00200000000001</v>
      </c>
      <c r="M87" s="25">
        <f t="shared" si="33"/>
        <v>176.221</v>
      </c>
      <c r="N87" s="25">
        <f t="shared" si="33"/>
        <v>176.49299999999999</v>
      </c>
      <c r="O87" s="25">
        <f t="shared" si="33"/>
        <v>176.136</v>
      </c>
      <c r="P87" s="25">
        <f t="shared" si="33"/>
        <v>176.422</v>
      </c>
      <c r="Q87" s="25">
        <f t="shared" si="33"/>
        <v>176.31</v>
      </c>
      <c r="R87" s="25">
        <f t="shared" si="33"/>
        <v>175.93199999999999</v>
      </c>
      <c r="S87" s="25">
        <f t="shared" si="33"/>
        <v>175.90600000000001</v>
      </c>
      <c r="T87" s="25">
        <f t="shared" si="33"/>
        <v>176.15799999999999</v>
      </c>
      <c r="U87" s="42"/>
      <c r="V87" s="42"/>
      <c r="W87" s="42"/>
    </row>
    <row r="88" spans="1:34" x14ac:dyDescent="0.25">
      <c r="A88" s="1">
        <v>86</v>
      </c>
      <c r="B88" s="2">
        <v>80.989999999999995</v>
      </c>
      <c r="C88" s="2">
        <v>95.156999999999996</v>
      </c>
      <c r="D88" s="2">
        <v>176.10599999999999</v>
      </c>
      <c r="E88" s="2">
        <v>1.883</v>
      </c>
      <c r="F88" s="2">
        <v>2.1840000000000002</v>
      </c>
      <c r="H88" s="5">
        <v>2</v>
      </c>
      <c r="I88" s="25">
        <f t="shared" si="33"/>
        <v>176.054</v>
      </c>
      <c r="J88" s="25">
        <f t="shared" si="33"/>
        <v>176.06299999999999</v>
      </c>
      <c r="K88" s="25">
        <f t="shared" si="33"/>
        <v>176.108</v>
      </c>
      <c r="L88" s="25">
        <f t="shared" si="33"/>
        <v>176.114</v>
      </c>
      <c r="M88" s="25">
        <f t="shared" si="33"/>
        <v>175.96799999999999</v>
      </c>
      <c r="N88" s="25">
        <f t="shared" si="33"/>
        <v>175.911</v>
      </c>
      <c r="O88" s="25">
        <f t="shared" si="33"/>
        <v>176.44499999999999</v>
      </c>
      <c r="P88" s="25">
        <f t="shared" si="33"/>
        <v>176.01900000000001</v>
      </c>
      <c r="Q88" s="25">
        <f t="shared" si="33"/>
        <v>176.06</v>
      </c>
      <c r="R88" s="25">
        <f t="shared" si="33"/>
        <v>175.81200000000001</v>
      </c>
      <c r="S88" s="25">
        <f t="shared" si="33"/>
        <v>175.923</v>
      </c>
      <c r="T88" s="25">
        <f t="shared" si="33"/>
        <v>175.79400000000001</v>
      </c>
      <c r="U88" s="42"/>
      <c r="V88" s="42"/>
      <c r="W88" s="42"/>
    </row>
    <row r="89" spans="1:34" x14ac:dyDescent="0.25">
      <c r="A89" s="1">
        <v>87</v>
      </c>
      <c r="B89" s="2">
        <v>81.272999999999996</v>
      </c>
      <c r="C89" s="2">
        <v>94.753</v>
      </c>
      <c r="D89" s="2">
        <v>176.00399999999999</v>
      </c>
      <c r="E89" s="2">
        <v>2.2719999999999998</v>
      </c>
      <c r="F89" s="2">
        <v>1.978</v>
      </c>
      <c r="H89" s="5">
        <v>3</v>
      </c>
      <c r="I89" s="25">
        <f t="shared" si="33"/>
        <v>176.36699999999999</v>
      </c>
      <c r="J89" s="25">
        <f t="shared" si="33"/>
        <v>175.91200000000001</v>
      </c>
      <c r="K89" s="25">
        <f t="shared" si="33"/>
        <v>176.113</v>
      </c>
      <c r="L89" s="25">
        <f t="shared" si="33"/>
        <v>175.999</v>
      </c>
      <c r="M89" s="25">
        <f t="shared" si="33"/>
        <v>176.12899999999999</v>
      </c>
      <c r="N89" s="25">
        <f t="shared" si="33"/>
        <v>176.471</v>
      </c>
      <c r="O89" s="25">
        <f t="shared" si="33"/>
        <v>176.114</v>
      </c>
      <c r="P89" s="25">
        <f t="shared" si="33"/>
        <v>175.93700000000001</v>
      </c>
      <c r="Q89" s="25">
        <f t="shared" si="33"/>
        <v>175.79400000000001</v>
      </c>
      <c r="R89" s="25">
        <f t="shared" si="33"/>
        <v>175.84899999999999</v>
      </c>
      <c r="S89" s="25">
        <f t="shared" si="33"/>
        <v>175.66399999999999</v>
      </c>
      <c r="T89" s="25">
        <f t="shared" si="33"/>
        <v>176.06200000000001</v>
      </c>
      <c r="U89" s="42"/>
      <c r="V89" s="42"/>
      <c r="W89" s="42"/>
    </row>
    <row r="90" spans="1:34" x14ac:dyDescent="0.25">
      <c r="A90" s="1">
        <v>88</v>
      </c>
      <c r="B90" s="2">
        <v>80.936999999999998</v>
      </c>
      <c r="C90" s="2">
        <v>94.927999999999997</v>
      </c>
      <c r="D90" s="2">
        <v>175.917</v>
      </c>
      <c r="E90" s="2">
        <v>1.6559999999999999</v>
      </c>
      <c r="F90" s="2">
        <v>2.2629999999999999</v>
      </c>
      <c r="H90" s="5">
        <v>4</v>
      </c>
      <c r="I90" s="25">
        <f t="shared" si="33"/>
        <v>175.68299999999999</v>
      </c>
      <c r="J90" s="25">
        <f t="shared" si="33"/>
        <v>176.21899999999999</v>
      </c>
      <c r="K90" s="25">
        <f t="shared" si="33"/>
        <v>175.803</v>
      </c>
      <c r="L90" s="25">
        <f t="shared" si="33"/>
        <v>176.22399999999999</v>
      </c>
      <c r="M90" s="25">
        <f t="shared" si="33"/>
        <v>176.06200000000001</v>
      </c>
      <c r="N90" s="25">
        <f t="shared" si="33"/>
        <v>176.29900000000001</v>
      </c>
      <c r="O90" s="25">
        <f t="shared" si="33"/>
        <v>176.03899999999999</v>
      </c>
      <c r="P90" s="25">
        <f t="shared" si="33"/>
        <v>175.84399999999999</v>
      </c>
      <c r="Q90" s="25">
        <f t="shared" si="33"/>
        <v>176.149</v>
      </c>
      <c r="R90" s="25">
        <f t="shared" si="33"/>
        <v>175.762</v>
      </c>
      <c r="S90" s="25">
        <f t="shared" si="33"/>
        <v>176.18799999999999</v>
      </c>
      <c r="T90" s="25">
        <f t="shared" si="33"/>
        <v>176.08699999999999</v>
      </c>
      <c r="U90" s="42"/>
      <c r="V90" s="42"/>
      <c r="W90" s="42"/>
    </row>
    <row r="91" spans="1:34" x14ac:dyDescent="0.25">
      <c r="A91" s="1">
        <v>89</v>
      </c>
      <c r="B91" s="2">
        <v>80.730999999999995</v>
      </c>
      <c r="C91" s="2">
        <v>95.156000000000006</v>
      </c>
      <c r="D91" s="2">
        <v>175.90100000000001</v>
      </c>
      <c r="E91" s="2">
        <v>2.1560000000000001</v>
      </c>
      <c r="F91" s="2">
        <v>1.75</v>
      </c>
      <c r="H91" s="5">
        <v>5</v>
      </c>
      <c r="I91" s="25">
        <f t="shared" si="33"/>
        <v>175.81100000000001</v>
      </c>
      <c r="J91" s="25">
        <f t="shared" si="33"/>
        <v>176.07</v>
      </c>
      <c r="K91" s="25">
        <f t="shared" si="33"/>
        <v>175.92599999999999</v>
      </c>
      <c r="L91" s="25">
        <f t="shared" si="33"/>
        <v>176.209</v>
      </c>
      <c r="M91" s="25">
        <f t="shared" si="33"/>
        <v>176.12</v>
      </c>
      <c r="N91" s="25">
        <f t="shared" si="33"/>
        <v>176.20500000000001</v>
      </c>
      <c r="O91" s="25">
        <f t="shared" si="33"/>
        <v>175.881</v>
      </c>
      <c r="P91" s="25">
        <f t="shared" si="33"/>
        <v>176.203</v>
      </c>
      <c r="Q91" s="25">
        <f t="shared" si="33"/>
        <v>176.185</v>
      </c>
      <c r="R91" s="25">
        <f t="shared" si="33"/>
        <v>176.23099999999999</v>
      </c>
      <c r="S91" s="25">
        <f t="shared" si="33"/>
        <v>175.62200000000001</v>
      </c>
      <c r="T91" s="25">
        <f t="shared" si="33"/>
        <v>176.172</v>
      </c>
      <c r="U91" s="42"/>
      <c r="V91" s="42"/>
      <c r="W91" s="42"/>
    </row>
    <row r="92" spans="1:34" x14ac:dyDescent="0.25">
      <c r="A92" s="1">
        <v>90</v>
      </c>
      <c r="B92" s="2">
        <v>80.866</v>
      </c>
      <c r="C92" s="2">
        <v>95.097999999999999</v>
      </c>
      <c r="D92" s="2">
        <v>175.93799999999999</v>
      </c>
      <c r="E92" s="2">
        <v>1.992</v>
      </c>
      <c r="F92" s="2">
        <v>1.929</v>
      </c>
      <c r="H92" s="5">
        <v>6</v>
      </c>
      <c r="I92" s="25">
        <f t="shared" si="33"/>
        <v>175.643</v>
      </c>
      <c r="J92" s="25">
        <f t="shared" si="33"/>
        <v>175.946</v>
      </c>
      <c r="K92" s="25">
        <f t="shared" si="33"/>
        <v>176.14099999999999</v>
      </c>
      <c r="L92" s="25">
        <f t="shared" si="33"/>
        <v>175.98400000000001</v>
      </c>
      <c r="M92" s="25">
        <f t="shared" si="33"/>
        <v>176.05799999999999</v>
      </c>
      <c r="N92" s="25">
        <f t="shared" si="33"/>
        <v>175.93</v>
      </c>
      <c r="O92" s="25">
        <f t="shared" si="33"/>
        <v>176.41</v>
      </c>
      <c r="P92" s="25">
        <f t="shared" si="33"/>
        <v>175.73</v>
      </c>
      <c r="Q92" s="25">
        <f t="shared" si="33"/>
        <v>175.87700000000001</v>
      </c>
      <c r="R92" s="25">
        <f t="shared" si="33"/>
        <v>175.77199999999999</v>
      </c>
      <c r="S92" s="25">
        <f t="shared" si="33"/>
        <v>176.05699999999999</v>
      </c>
      <c r="T92" s="25">
        <f t="shared" si="33"/>
        <v>176.11199999999999</v>
      </c>
      <c r="U92" s="42"/>
      <c r="V92" s="42"/>
      <c r="W92" s="42"/>
    </row>
    <row r="93" spans="1:34" x14ac:dyDescent="0.25">
      <c r="A93" s="1">
        <v>91</v>
      </c>
      <c r="B93" s="2">
        <v>81.108000000000004</v>
      </c>
      <c r="C93" s="2">
        <v>94.730999999999995</v>
      </c>
      <c r="D93" s="2">
        <v>175.86</v>
      </c>
      <c r="E93" s="2">
        <v>2.4049999999999998</v>
      </c>
      <c r="F93" s="2">
        <v>2.944</v>
      </c>
      <c r="H93" s="5">
        <v>7</v>
      </c>
      <c r="I93" s="25">
        <f t="shared" si="33"/>
        <v>176.381</v>
      </c>
      <c r="J93" s="25">
        <f t="shared" si="33"/>
        <v>176.048</v>
      </c>
      <c r="K93" s="25">
        <f t="shared" si="33"/>
        <v>175.93299999999999</v>
      </c>
      <c r="L93" s="25">
        <f t="shared" si="33"/>
        <v>175.839</v>
      </c>
      <c r="M93" s="25">
        <f t="shared" si="33"/>
        <v>175.79</v>
      </c>
      <c r="N93" s="25">
        <f t="shared" si="33"/>
        <v>175.99700000000001</v>
      </c>
      <c r="O93" s="25">
        <f t="shared" si="33"/>
        <v>176.50899999999999</v>
      </c>
      <c r="P93" s="25">
        <f t="shared" si="33"/>
        <v>176.07499999999999</v>
      </c>
      <c r="Q93" s="25">
        <f t="shared" si="33"/>
        <v>175.952</v>
      </c>
      <c r="R93" s="25">
        <f t="shared" si="33"/>
        <v>176.02</v>
      </c>
      <c r="S93" s="25">
        <f t="shared" si="33"/>
        <v>175.851</v>
      </c>
      <c r="T93" s="25">
        <f t="shared" si="33"/>
        <v>176</v>
      </c>
      <c r="U93" s="42"/>
      <c r="V93" s="42"/>
      <c r="W93" s="42"/>
    </row>
    <row r="94" spans="1:34" x14ac:dyDescent="0.25">
      <c r="A94" s="1">
        <v>92</v>
      </c>
      <c r="B94" s="2">
        <v>80.844999999999999</v>
      </c>
      <c r="C94" s="2">
        <v>95.158000000000001</v>
      </c>
      <c r="D94" s="2">
        <v>175.935</v>
      </c>
      <c r="E94" s="2">
        <v>2.1419999999999999</v>
      </c>
      <c r="F94" s="2">
        <v>2.78</v>
      </c>
      <c r="H94" s="5">
        <v>8</v>
      </c>
      <c r="I94" s="25">
        <f t="shared" si="33"/>
        <v>175.91499999999999</v>
      </c>
      <c r="J94" s="25">
        <f t="shared" si="33"/>
        <v>176.184</v>
      </c>
      <c r="K94" s="25">
        <f t="shared" si="33"/>
        <v>176.27699999999999</v>
      </c>
      <c r="L94" s="25">
        <f t="shared" si="33"/>
        <v>176.285</v>
      </c>
      <c r="M94" s="25">
        <f t="shared" si="33"/>
        <v>176.036</v>
      </c>
      <c r="N94" s="25">
        <f t="shared" si="33"/>
        <v>176.22399999999999</v>
      </c>
      <c r="O94" s="25">
        <f t="shared" si="33"/>
        <v>176.21700000000001</v>
      </c>
      <c r="P94" s="25">
        <f t="shared" si="33"/>
        <v>175.97399999999999</v>
      </c>
      <c r="Q94" s="25">
        <f t="shared" si="33"/>
        <v>175.94499999999999</v>
      </c>
      <c r="R94" s="25">
        <f t="shared" si="33"/>
        <v>176.05099999999999</v>
      </c>
      <c r="S94" s="25">
        <f t="shared" si="33"/>
        <v>175.779</v>
      </c>
      <c r="T94" s="25">
        <f t="shared" si="33"/>
        <v>176.15799999999999</v>
      </c>
      <c r="U94" s="42"/>
      <c r="V94" s="42"/>
      <c r="W94" s="42"/>
    </row>
    <row r="95" spans="1:34" x14ac:dyDescent="0.25">
      <c r="A95" s="1">
        <v>93</v>
      </c>
      <c r="B95" s="2">
        <v>80.507000000000005</v>
      </c>
      <c r="C95" s="2">
        <v>95.326999999999998</v>
      </c>
      <c r="D95" s="2">
        <v>175.89</v>
      </c>
      <c r="E95" s="2">
        <v>2.867</v>
      </c>
      <c r="F95" s="2">
        <v>2.3439999999999999</v>
      </c>
      <c r="H95" s="5">
        <v>9</v>
      </c>
      <c r="I95" s="25">
        <f t="shared" si="33"/>
        <v>175.80799999999999</v>
      </c>
      <c r="J95" s="25">
        <f t="shared" si="33"/>
        <v>176.09</v>
      </c>
      <c r="K95" s="25">
        <f t="shared" si="33"/>
        <v>175.94300000000001</v>
      </c>
      <c r="L95" s="25">
        <f t="shared" si="33"/>
        <v>175.905</v>
      </c>
      <c r="M95" s="25">
        <f t="shared" si="33"/>
        <v>175.63499999999999</v>
      </c>
      <c r="N95" s="25">
        <f t="shared" si="33"/>
        <v>175.84899999999999</v>
      </c>
      <c r="O95" s="25">
        <f t="shared" si="33"/>
        <v>176.23599999999999</v>
      </c>
      <c r="P95" s="25">
        <f t="shared" si="33"/>
        <v>175.89099999999999</v>
      </c>
      <c r="Q95" s="25">
        <f t="shared" si="33"/>
        <v>175.827</v>
      </c>
      <c r="R95" s="25">
        <f t="shared" si="33"/>
        <v>176.21700000000001</v>
      </c>
      <c r="S95" s="25">
        <f t="shared" si="33"/>
        <v>175.9</v>
      </c>
      <c r="T95" s="25">
        <f t="shared" si="33"/>
        <v>175.744</v>
      </c>
      <c r="U95" s="42"/>
      <c r="V95" s="42"/>
      <c r="W95" s="42"/>
    </row>
    <row r="96" spans="1:34" x14ac:dyDescent="0.25">
      <c r="A96" s="1">
        <v>94</v>
      </c>
      <c r="B96" s="2">
        <v>81.302000000000007</v>
      </c>
      <c r="C96" s="2">
        <v>94.668999999999997</v>
      </c>
      <c r="D96" s="2">
        <v>175.983</v>
      </c>
      <c r="E96" s="2">
        <v>2.3149999999999999</v>
      </c>
      <c r="F96" s="2">
        <v>1.903</v>
      </c>
      <c r="H96" s="5">
        <v>10</v>
      </c>
      <c r="I96" s="25">
        <f t="shared" si="33"/>
        <v>175.595</v>
      </c>
      <c r="J96" s="25">
        <f t="shared" si="33"/>
        <v>175.935</v>
      </c>
      <c r="K96" s="25">
        <f t="shared" si="33"/>
        <v>175.923</v>
      </c>
      <c r="L96" s="25">
        <f t="shared" si="33"/>
        <v>176.047</v>
      </c>
      <c r="M96" s="25">
        <f t="shared" si="33"/>
        <v>176.226</v>
      </c>
      <c r="N96" s="25">
        <f t="shared" si="33"/>
        <v>175.91499999999999</v>
      </c>
      <c r="O96" s="25">
        <f t="shared" si="33"/>
        <v>176.279</v>
      </c>
      <c r="P96" s="25">
        <f t="shared" si="33"/>
        <v>175.745</v>
      </c>
      <c r="Q96" s="25">
        <f t="shared" si="33"/>
        <v>175.84100000000001</v>
      </c>
      <c r="R96" s="25">
        <f t="shared" si="33"/>
        <v>176.14500000000001</v>
      </c>
      <c r="S96" s="25">
        <f t="shared" si="33"/>
        <v>176.071</v>
      </c>
      <c r="T96" s="25">
        <f t="shared" si="33"/>
        <v>176.34399999999999</v>
      </c>
      <c r="U96" s="42"/>
      <c r="V96" s="42"/>
      <c r="W96" s="42"/>
    </row>
    <row r="97" spans="1:23" x14ac:dyDescent="0.25">
      <c r="A97" s="1">
        <v>95</v>
      </c>
      <c r="B97" s="2">
        <v>81.319000000000003</v>
      </c>
      <c r="C97" s="2">
        <v>94.305999999999997</v>
      </c>
      <c r="D97" s="2">
        <v>175.67500000000001</v>
      </c>
      <c r="E97" s="2">
        <v>2.2400000000000002</v>
      </c>
      <c r="F97" s="2">
        <v>2.222</v>
      </c>
      <c r="H97" s="5">
        <v>11</v>
      </c>
      <c r="I97" s="25">
        <f t="shared" ref="I97:T111" si="34">INDEX($D$3:$D$327,$H97+(I$21-1)*25,1)</f>
        <v>175.91800000000001</v>
      </c>
      <c r="J97" s="25">
        <f t="shared" si="34"/>
        <v>176.06</v>
      </c>
      <c r="K97" s="25">
        <f t="shared" si="34"/>
        <v>175.99799999999999</v>
      </c>
      <c r="L97" s="25">
        <f t="shared" si="34"/>
        <v>175.93700000000001</v>
      </c>
      <c r="M97" s="25">
        <f t="shared" si="34"/>
        <v>176.047</v>
      </c>
      <c r="N97" s="25">
        <f t="shared" si="34"/>
        <v>175.92099999999999</v>
      </c>
      <c r="O97" s="25">
        <f t="shared" si="34"/>
        <v>175.988</v>
      </c>
      <c r="P97" s="25">
        <f t="shared" si="34"/>
        <v>175.98400000000001</v>
      </c>
      <c r="Q97" s="25">
        <f t="shared" si="34"/>
        <v>176.32499999999999</v>
      </c>
      <c r="R97" s="25">
        <f t="shared" si="34"/>
        <v>176.10599999999999</v>
      </c>
      <c r="S97" s="25">
        <f t="shared" si="34"/>
        <v>176.05</v>
      </c>
      <c r="T97" s="25">
        <f t="shared" si="34"/>
        <v>175.702</v>
      </c>
      <c r="U97" s="42"/>
      <c r="V97" s="42"/>
      <c r="W97" s="42"/>
    </row>
    <row r="98" spans="1:23" x14ac:dyDescent="0.25">
      <c r="A98" s="1">
        <v>96</v>
      </c>
      <c r="B98" s="2">
        <v>81.358000000000004</v>
      </c>
      <c r="C98" s="2">
        <v>95.072000000000003</v>
      </c>
      <c r="D98" s="2">
        <v>176.482</v>
      </c>
      <c r="E98" s="2">
        <v>2.5129999999999999</v>
      </c>
      <c r="F98" s="2">
        <v>2.4489999999999998</v>
      </c>
      <c r="H98" s="5">
        <v>12</v>
      </c>
      <c r="I98" s="25">
        <f t="shared" si="34"/>
        <v>176.31800000000001</v>
      </c>
      <c r="J98" s="25">
        <f t="shared" si="34"/>
        <v>176.05500000000001</v>
      </c>
      <c r="K98" s="25">
        <f t="shared" si="34"/>
        <v>176.19200000000001</v>
      </c>
      <c r="L98" s="25">
        <f t="shared" si="34"/>
        <v>175.95599999999999</v>
      </c>
      <c r="M98" s="25">
        <f t="shared" si="34"/>
        <v>176.03399999999999</v>
      </c>
      <c r="N98" s="25">
        <f t="shared" si="34"/>
        <v>175.92500000000001</v>
      </c>
      <c r="O98" s="25">
        <f t="shared" si="34"/>
        <v>176.04400000000001</v>
      </c>
      <c r="P98" s="25">
        <f t="shared" si="34"/>
        <v>175.95500000000001</v>
      </c>
      <c r="Q98" s="25">
        <f t="shared" si="34"/>
        <v>176.191</v>
      </c>
      <c r="R98" s="25">
        <f t="shared" si="34"/>
        <v>176.00399999999999</v>
      </c>
      <c r="S98" s="25">
        <f t="shared" si="34"/>
        <v>176.13300000000001</v>
      </c>
      <c r="T98" s="25">
        <f t="shared" si="34"/>
        <v>175.934</v>
      </c>
      <c r="U98" s="42"/>
      <c r="V98" s="42"/>
      <c r="W98" s="42"/>
    </row>
    <row r="99" spans="1:23" x14ac:dyDescent="0.25">
      <c r="A99" s="1">
        <v>97</v>
      </c>
      <c r="B99" s="2">
        <v>80.936000000000007</v>
      </c>
      <c r="C99" s="2">
        <v>95.575000000000003</v>
      </c>
      <c r="D99" s="2">
        <v>176.45099999999999</v>
      </c>
      <c r="E99" s="2">
        <v>2.052</v>
      </c>
      <c r="F99" s="2">
        <v>1.98</v>
      </c>
      <c r="H99" s="5">
        <v>13</v>
      </c>
      <c r="I99" s="25">
        <f t="shared" si="34"/>
        <v>176.21600000000001</v>
      </c>
      <c r="J99" s="25">
        <f t="shared" si="34"/>
        <v>175.96600000000001</v>
      </c>
      <c r="K99" s="25">
        <f t="shared" si="34"/>
        <v>176.03200000000001</v>
      </c>
      <c r="L99" s="25">
        <f t="shared" si="34"/>
        <v>175.93799999999999</v>
      </c>
      <c r="M99" s="25">
        <f t="shared" si="34"/>
        <v>175.95099999999999</v>
      </c>
      <c r="N99" s="25">
        <f t="shared" si="34"/>
        <v>175.92400000000001</v>
      </c>
      <c r="O99" s="25">
        <f t="shared" si="34"/>
        <v>175.935</v>
      </c>
      <c r="P99" s="25">
        <f t="shared" si="34"/>
        <v>175.73400000000001</v>
      </c>
      <c r="Q99" s="25">
        <f t="shared" si="34"/>
        <v>176.024</v>
      </c>
      <c r="R99" s="25">
        <f t="shared" si="34"/>
        <v>175.917</v>
      </c>
      <c r="S99" s="25">
        <f t="shared" si="34"/>
        <v>176.2</v>
      </c>
      <c r="T99" s="25">
        <f t="shared" si="34"/>
        <v>175.815</v>
      </c>
      <c r="U99" s="42"/>
      <c r="V99" s="42"/>
      <c r="W99" s="42"/>
    </row>
    <row r="100" spans="1:23" x14ac:dyDescent="0.25">
      <c r="A100" s="1">
        <v>98</v>
      </c>
      <c r="B100" s="2">
        <v>80.897000000000006</v>
      </c>
      <c r="C100" s="2">
        <v>95.34</v>
      </c>
      <c r="D100" s="2">
        <v>176.27699999999999</v>
      </c>
      <c r="E100" s="2">
        <v>2.33</v>
      </c>
      <c r="F100" s="2">
        <v>2.0950000000000002</v>
      </c>
      <c r="H100" s="5">
        <v>14</v>
      </c>
      <c r="I100" s="25">
        <f t="shared" si="34"/>
        <v>175.96100000000001</v>
      </c>
      <c r="J100" s="25">
        <f t="shared" si="34"/>
        <v>176.018</v>
      </c>
      <c r="K100" s="25">
        <f t="shared" si="34"/>
        <v>176.32300000000001</v>
      </c>
      <c r="L100" s="25">
        <f t="shared" si="34"/>
        <v>175.92</v>
      </c>
      <c r="M100" s="25">
        <f t="shared" si="34"/>
        <v>176.11199999999999</v>
      </c>
      <c r="N100" s="25">
        <f t="shared" si="34"/>
        <v>175.71</v>
      </c>
      <c r="O100" s="25">
        <f t="shared" si="34"/>
        <v>175.904</v>
      </c>
      <c r="P100" s="25">
        <f t="shared" si="34"/>
        <v>176.04900000000001</v>
      </c>
      <c r="Q100" s="25">
        <f t="shared" si="34"/>
        <v>176.04599999999999</v>
      </c>
      <c r="R100" s="25">
        <f t="shared" si="34"/>
        <v>175.90100000000001</v>
      </c>
      <c r="S100" s="25">
        <f t="shared" si="34"/>
        <v>175.82300000000001</v>
      </c>
      <c r="T100" s="25">
        <f t="shared" si="34"/>
        <v>176.15</v>
      </c>
      <c r="U100" s="42"/>
      <c r="V100" s="42"/>
      <c r="W100" s="42"/>
    </row>
    <row r="101" spans="1:23" x14ac:dyDescent="0.25">
      <c r="A101" s="1">
        <v>99</v>
      </c>
      <c r="B101" s="2">
        <v>81.174999999999997</v>
      </c>
      <c r="C101" s="2">
        <v>94.501000000000005</v>
      </c>
      <c r="D101" s="2">
        <v>175.76300000000001</v>
      </c>
      <c r="E101" s="2">
        <v>1.79</v>
      </c>
      <c r="F101" s="2">
        <v>1.899</v>
      </c>
      <c r="H101" s="5">
        <v>15</v>
      </c>
      <c r="I101" s="25">
        <f t="shared" si="34"/>
        <v>175.63</v>
      </c>
      <c r="J101" s="25">
        <f t="shared" si="34"/>
        <v>176.346</v>
      </c>
      <c r="K101" s="25">
        <f t="shared" si="34"/>
        <v>176.053</v>
      </c>
      <c r="L101" s="25">
        <f t="shared" si="34"/>
        <v>175.65299999999999</v>
      </c>
      <c r="M101" s="25">
        <f t="shared" si="34"/>
        <v>176.316</v>
      </c>
      <c r="N101" s="25">
        <f t="shared" si="34"/>
        <v>175.87700000000001</v>
      </c>
      <c r="O101" s="25">
        <f t="shared" si="34"/>
        <v>176.09299999999999</v>
      </c>
      <c r="P101" s="25">
        <f t="shared" si="34"/>
        <v>176.42</v>
      </c>
      <c r="Q101" s="25">
        <f t="shared" si="34"/>
        <v>176.10900000000001</v>
      </c>
      <c r="R101" s="25">
        <f t="shared" si="34"/>
        <v>175.93799999999999</v>
      </c>
      <c r="S101" s="25">
        <f t="shared" si="34"/>
        <v>175.565</v>
      </c>
      <c r="T101" s="25">
        <f t="shared" si="34"/>
        <v>175.93100000000001</v>
      </c>
      <c r="U101" s="42"/>
      <c r="V101" s="42"/>
      <c r="W101" s="42"/>
    </row>
    <row r="102" spans="1:23" x14ac:dyDescent="0.25">
      <c r="A102" s="1">
        <v>100</v>
      </c>
      <c r="B102" s="2">
        <v>81.924000000000007</v>
      </c>
      <c r="C102" s="2">
        <v>94.046000000000006</v>
      </c>
      <c r="D102" s="2">
        <v>175.98599999999999</v>
      </c>
      <c r="E102" s="2">
        <v>2.04</v>
      </c>
      <c r="F102" s="2">
        <v>1.7450000000000001</v>
      </c>
      <c r="H102" s="5">
        <v>16</v>
      </c>
      <c r="I102" s="25">
        <f t="shared" si="34"/>
        <v>175.83699999999999</v>
      </c>
      <c r="J102" s="25">
        <f t="shared" si="34"/>
        <v>176.04900000000001</v>
      </c>
      <c r="K102" s="25">
        <f t="shared" si="34"/>
        <v>176.15199999999999</v>
      </c>
      <c r="L102" s="25">
        <f t="shared" si="34"/>
        <v>176.09299999999999</v>
      </c>
      <c r="M102" s="25">
        <f t="shared" si="34"/>
        <v>175.773</v>
      </c>
      <c r="N102" s="25">
        <f t="shared" si="34"/>
        <v>175.90199999999999</v>
      </c>
      <c r="O102" s="25">
        <f t="shared" si="34"/>
        <v>176.27099999999999</v>
      </c>
      <c r="P102" s="25">
        <f t="shared" si="34"/>
        <v>175.846</v>
      </c>
      <c r="Q102" s="25">
        <f t="shared" si="34"/>
        <v>176.04900000000001</v>
      </c>
      <c r="R102" s="25">
        <f t="shared" si="34"/>
        <v>175.86</v>
      </c>
      <c r="S102" s="25">
        <f t="shared" si="34"/>
        <v>175.89400000000001</v>
      </c>
      <c r="T102" s="25">
        <f t="shared" si="34"/>
        <v>175.95</v>
      </c>
      <c r="U102" s="42"/>
      <c r="V102" s="42"/>
      <c r="W102" s="42"/>
    </row>
    <row r="103" spans="1:23" x14ac:dyDescent="0.25">
      <c r="A103" s="1">
        <v>101</v>
      </c>
      <c r="B103" s="2">
        <v>81.281000000000006</v>
      </c>
      <c r="C103" s="2">
        <v>94.721000000000004</v>
      </c>
      <c r="D103" s="2">
        <v>175.90600000000001</v>
      </c>
      <c r="E103" s="2">
        <v>2.448</v>
      </c>
      <c r="F103" s="2">
        <v>2.5459999999999998</v>
      </c>
      <c r="H103" s="5">
        <v>17</v>
      </c>
      <c r="I103" s="25">
        <f t="shared" si="34"/>
        <v>176.333</v>
      </c>
      <c r="J103" s="25">
        <f t="shared" si="34"/>
        <v>176.18799999999999</v>
      </c>
      <c r="K103" s="25">
        <f t="shared" si="34"/>
        <v>175.89400000000001</v>
      </c>
      <c r="L103" s="25">
        <f t="shared" si="34"/>
        <v>175.846</v>
      </c>
      <c r="M103" s="25">
        <f t="shared" si="34"/>
        <v>176.04499999999999</v>
      </c>
      <c r="N103" s="25">
        <f t="shared" si="34"/>
        <v>175.88900000000001</v>
      </c>
      <c r="O103" s="25">
        <f t="shared" si="34"/>
        <v>176.21199999999999</v>
      </c>
      <c r="P103" s="25">
        <f t="shared" si="34"/>
        <v>176.24199999999999</v>
      </c>
      <c r="Q103" s="25">
        <f t="shared" si="34"/>
        <v>175.98400000000001</v>
      </c>
      <c r="R103" s="25">
        <f t="shared" si="34"/>
        <v>175.935</v>
      </c>
      <c r="S103" s="25">
        <f t="shared" si="34"/>
        <v>175.75</v>
      </c>
      <c r="T103" s="25">
        <f t="shared" si="34"/>
        <v>175.87899999999999</v>
      </c>
      <c r="U103" s="42"/>
      <c r="V103" s="42"/>
      <c r="W103" s="42"/>
    </row>
    <row r="104" spans="1:23" x14ac:dyDescent="0.25">
      <c r="A104" s="1">
        <v>102</v>
      </c>
      <c r="B104" s="2">
        <v>81.17</v>
      </c>
      <c r="C104" s="2">
        <v>94.744</v>
      </c>
      <c r="D104" s="2">
        <v>175.923</v>
      </c>
      <c r="E104" s="2">
        <v>2.9529999999999998</v>
      </c>
      <c r="F104" s="2">
        <v>2.2120000000000002</v>
      </c>
      <c r="H104" s="5">
        <v>18</v>
      </c>
      <c r="I104" s="25">
        <f t="shared" si="34"/>
        <v>176.20400000000001</v>
      </c>
      <c r="J104" s="25">
        <f t="shared" si="34"/>
        <v>176.09100000000001</v>
      </c>
      <c r="K104" s="25">
        <f t="shared" si="34"/>
        <v>176.13900000000001</v>
      </c>
      <c r="L104" s="25">
        <f t="shared" si="34"/>
        <v>175.56100000000001</v>
      </c>
      <c r="M104" s="25">
        <f t="shared" si="34"/>
        <v>176.00700000000001</v>
      </c>
      <c r="N104" s="25">
        <f t="shared" si="34"/>
        <v>175.977</v>
      </c>
      <c r="O104" s="25">
        <f t="shared" si="34"/>
        <v>176.262</v>
      </c>
      <c r="P104" s="25">
        <f t="shared" si="34"/>
        <v>176.01900000000001</v>
      </c>
      <c r="Q104" s="25">
        <f t="shared" si="34"/>
        <v>175.952</v>
      </c>
      <c r="R104" s="25">
        <f t="shared" si="34"/>
        <v>175.89</v>
      </c>
      <c r="S104" s="25">
        <f t="shared" si="34"/>
        <v>175.66300000000001</v>
      </c>
      <c r="T104" s="25">
        <f t="shared" si="34"/>
        <v>175.89500000000001</v>
      </c>
      <c r="U104" s="42"/>
      <c r="V104" s="42"/>
      <c r="W104" s="42"/>
    </row>
    <row r="105" spans="1:23" x14ac:dyDescent="0.25">
      <c r="A105" s="1">
        <v>103</v>
      </c>
      <c r="B105" s="2">
        <v>81.334000000000003</v>
      </c>
      <c r="C105" s="2">
        <v>94.33</v>
      </c>
      <c r="D105" s="2">
        <v>175.66399999999999</v>
      </c>
      <c r="E105" s="2">
        <v>2.8540000000000001</v>
      </c>
      <c r="F105" s="2">
        <v>2.5009999999999999</v>
      </c>
      <c r="H105" s="5">
        <v>19</v>
      </c>
      <c r="I105" s="25">
        <f t="shared" si="34"/>
        <v>175.559</v>
      </c>
      <c r="J105" s="25">
        <f t="shared" si="34"/>
        <v>175.751</v>
      </c>
      <c r="K105" s="25">
        <f t="shared" si="34"/>
        <v>176.19</v>
      </c>
      <c r="L105" s="25">
        <f t="shared" si="34"/>
        <v>175.869</v>
      </c>
      <c r="M105" s="25">
        <f t="shared" si="34"/>
        <v>175.82400000000001</v>
      </c>
      <c r="N105" s="25">
        <f t="shared" si="34"/>
        <v>176.06399999999999</v>
      </c>
      <c r="O105" s="25">
        <f t="shared" si="34"/>
        <v>176.31399999999999</v>
      </c>
      <c r="P105" s="25">
        <f t="shared" si="34"/>
        <v>176.04400000000001</v>
      </c>
      <c r="Q105" s="25">
        <f t="shared" si="34"/>
        <v>175.798</v>
      </c>
      <c r="R105" s="25">
        <f t="shared" si="34"/>
        <v>175.983</v>
      </c>
      <c r="S105" s="25">
        <f t="shared" si="34"/>
        <v>175.97</v>
      </c>
      <c r="T105" s="25">
        <f t="shared" si="34"/>
        <v>176.24100000000001</v>
      </c>
      <c r="U105" s="42"/>
      <c r="V105" s="42"/>
      <c r="W105" s="42"/>
    </row>
    <row r="106" spans="1:23" x14ac:dyDescent="0.25">
      <c r="A106" s="1">
        <v>104</v>
      </c>
      <c r="B106" s="2">
        <v>81.105999999999995</v>
      </c>
      <c r="C106" s="2">
        <v>95.006</v>
      </c>
      <c r="D106" s="2">
        <v>176.18799999999999</v>
      </c>
      <c r="E106" s="2">
        <v>2.206</v>
      </c>
      <c r="F106" s="2">
        <v>2.35</v>
      </c>
      <c r="H106" s="5">
        <v>20</v>
      </c>
      <c r="I106" s="25">
        <f t="shared" si="34"/>
        <v>175.55199999999999</v>
      </c>
      <c r="J106" s="25">
        <f t="shared" si="34"/>
        <v>175.91900000000001</v>
      </c>
      <c r="K106" s="25">
        <f t="shared" si="34"/>
        <v>176.292</v>
      </c>
      <c r="L106" s="25">
        <f t="shared" si="34"/>
        <v>175.876</v>
      </c>
      <c r="M106" s="25">
        <f t="shared" si="34"/>
        <v>175.89699999999999</v>
      </c>
      <c r="N106" s="25">
        <f t="shared" si="34"/>
        <v>176.09399999999999</v>
      </c>
      <c r="O106" s="25">
        <f t="shared" si="34"/>
        <v>176.125</v>
      </c>
      <c r="P106" s="25">
        <f t="shared" si="34"/>
        <v>175.72</v>
      </c>
      <c r="Q106" s="25">
        <f t="shared" si="34"/>
        <v>175.77699999999999</v>
      </c>
      <c r="R106" s="25">
        <f t="shared" si="34"/>
        <v>175.67500000000001</v>
      </c>
      <c r="S106" s="25">
        <f t="shared" si="34"/>
        <v>175.934</v>
      </c>
      <c r="T106" s="25">
        <f t="shared" si="34"/>
        <v>176.01400000000001</v>
      </c>
      <c r="U106" s="42"/>
      <c r="V106" s="42"/>
      <c r="W106" s="42"/>
    </row>
    <row r="107" spans="1:23" x14ac:dyDescent="0.25">
      <c r="A107" s="1">
        <v>105</v>
      </c>
      <c r="B107" s="2">
        <v>80.947999999999993</v>
      </c>
      <c r="C107" s="2">
        <v>94.617999999999995</v>
      </c>
      <c r="D107" s="2">
        <v>175.62200000000001</v>
      </c>
      <c r="E107" s="2">
        <v>2.0329999999999999</v>
      </c>
      <c r="F107" s="2">
        <v>2.7629999999999999</v>
      </c>
      <c r="H107" s="5">
        <v>21</v>
      </c>
      <c r="I107" s="25">
        <f t="shared" si="34"/>
        <v>175.60400000000001</v>
      </c>
      <c r="J107" s="25">
        <f t="shared" si="34"/>
        <v>175.875</v>
      </c>
      <c r="K107" s="25">
        <f t="shared" si="34"/>
        <v>175.374</v>
      </c>
      <c r="L107" s="25">
        <f t="shared" si="34"/>
        <v>175.90799999999999</v>
      </c>
      <c r="M107" s="25">
        <f t="shared" si="34"/>
        <v>175.703</v>
      </c>
      <c r="N107" s="25">
        <f t="shared" si="34"/>
        <v>175.815</v>
      </c>
      <c r="O107" s="25">
        <f t="shared" si="34"/>
        <v>175.696</v>
      </c>
      <c r="P107" s="25">
        <f t="shared" si="34"/>
        <v>176.065</v>
      </c>
      <c r="Q107" s="25">
        <f t="shared" si="34"/>
        <v>176.185</v>
      </c>
      <c r="R107" s="25">
        <f t="shared" si="34"/>
        <v>176.482</v>
      </c>
      <c r="S107" s="25">
        <f t="shared" si="34"/>
        <v>176.148</v>
      </c>
      <c r="T107" s="25">
        <f t="shared" si="34"/>
        <v>175.68899999999999</v>
      </c>
      <c r="U107" s="42"/>
      <c r="V107" s="42"/>
      <c r="W107" s="42"/>
    </row>
    <row r="108" spans="1:23" x14ac:dyDescent="0.25">
      <c r="A108" s="1">
        <v>106</v>
      </c>
      <c r="B108" s="2">
        <v>81.274000000000001</v>
      </c>
      <c r="C108" s="2">
        <v>94.849000000000004</v>
      </c>
      <c r="D108" s="2">
        <v>176.05699999999999</v>
      </c>
      <c r="E108" s="2">
        <v>2.3069999999999999</v>
      </c>
      <c r="F108" s="2">
        <v>1.7629999999999999</v>
      </c>
      <c r="H108" s="5">
        <v>22</v>
      </c>
      <c r="I108" s="25">
        <f t="shared" si="34"/>
        <v>176.03299999999999</v>
      </c>
      <c r="J108" s="25">
        <f t="shared" si="34"/>
        <v>175.80799999999999</v>
      </c>
      <c r="K108" s="25">
        <f t="shared" si="34"/>
        <v>176.095</v>
      </c>
      <c r="L108" s="25">
        <f t="shared" si="34"/>
        <v>175.74</v>
      </c>
      <c r="M108" s="25">
        <f t="shared" si="34"/>
        <v>176.024</v>
      </c>
      <c r="N108" s="25">
        <f t="shared" si="34"/>
        <v>175.83699999999999</v>
      </c>
      <c r="O108" s="25">
        <f t="shared" si="34"/>
        <v>176.07400000000001</v>
      </c>
      <c r="P108" s="25">
        <f t="shared" si="34"/>
        <v>176.42</v>
      </c>
      <c r="Q108" s="25">
        <f t="shared" si="34"/>
        <v>176.11799999999999</v>
      </c>
      <c r="R108" s="25">
        <f t="shared" si="34"/>
        <v>176.45099999999999</v>
      </c>
      <c r="S108" s="25">
        <f t="shared" si="34"/>
        <v>175.78399999999999</v>
      </c>
      <c r="T108" s="25">
        <f t="shared" si="34"/>
        <v>176.03200000000001</v>
      </c>
      <c r="U108" s="42"/>
      <c r="V108" s="42"/>
      <c r="W108" s="42"/>
    </row>
    <row r="109" spans="1:23" x14ac:dyDescent="0.25">
      <c r="A109" s="1">
        <v>107</v>
      </c>
      <c r="B109" s="2">
        <v>81.355000000000004</v>
      </c>
      <c r="C109" s="2">
        <v>94.522999999999996</v>
      </c>
      <c r="D109" s="2">
        <v>175.851</v>
      </c>
      <c r="E109" s="2">
        <v>2.7629999999999999</v>
      </c>
      <c r="F109" s="2">
        <v>2.3119999999999998</v>
      </c>
      <c r="H109" s="5">
        <v>23</v>
      </c>
      <c r="I109" s="25">
        <f t="shared" si="34"/>
        <v>176.107</v>
      </c>
      <c r="J109" s="25">
        <f t="shared" si="34"/>
        <v>175.95500000000001</v>
      </c>
      <c r="K109" s="25">
        <f t="shared" si="34"/>
        <v>176.291</v>
      </c>
      <c r="L109" s="25">
        <f t="shared" si="34"/>
        <v>175.95099999999999</v>
      </c>
      <c r="M109" s="25">
        <f t="shared" si="34"/>
        <v>175.82300000000001</v>
      </c>
      <c r="N109" s="25">
        <f t="shared" si="34"/>
        <v>175.94399999999999</v>
      </c>
      <c r="O109" s="25">
        <f t="shared" si="34"/>
        <v>176.13</v>
      </c>
      <c r="P109" s="25">
        <f t="shared" si="34"/>
        <v>175.77099999999999</v>
      </c>
      <c r="Q109" s="25">
        <f t="shared" si="34"/>
        <v>176.04499999999999</v>
      </c>
      <c r="R109" s="25">
        <f t="shared" si="34"/>
        <v>176.27699999999999</v>
      </c>
      <c r="S109" s="25">
        <f t="shared" si="34"/>
        <v>175.839</v>
      </c>
      <c r="T109" s="25">
        <f t="shared" si="34"/>
        <v>176.19399999999999</v>
      </c>
      <c r="U109" s="42"/>
      <c r="V109" s="42"/>
      <c r="W109" s="42"/>
    </row>
    <row r="110" spans="1:23" x14ac:dyDescent="0.25">
      <c r="A110" s="1">
        <v>108</v>
      </c>
      <c r="B110" s="2">
        <v>81.126000000000005</v>
      </c>
      <c r="C110" s="2">
        <v>94.680999999999997</v>
      </c>
      <c r="D110" s="2">
        <v>175.779</v>
      </c>
      <c r="E110" s="2">
        <v>1.9610000000000001</v>
      </c>
      <c r="F110" s="2">
        <v>2.2010000000000001</v>
      </c>
      <c r="H110" s="5">
        <v>24</v>
      </c>
      <c r="I110" s="25">
        <f t="shared" si="34"/>
        <v>175.863</v>
      </c>
      <c r="J110" s="25">
        <f t="shared" si="34"/>
        <v>175.91200000000001</v>
      </c>
      <c r="K110" s="25">
        <f t="shared" si="34"/>
        <v>176.17599999999999</v>
      </c>
      <c r="L110" s="25">
        <f t="shared" si="34"/>
        <v>175.809</v>
      </c>
      <c r="M110" s="25">
        <f t="shared" si="34"/>
        <v>176.43199999999999</v>
      </c>
      <c r="N110" s="25">
        <f t="shared" si="34"/>
        <v>175.846</v>
      </c>
      <c r="O110" s="25">
        <f t="shared" si="34"/>
        <v>176.23400000000001</v>
      </c>
      <c r="P110" s="25">
        <f t="shared" si="34"/>
        <v>175.90700000000001</v>
      </c>
      <c r="Q110" s="25">
        <f t="shared" si="34"/>
        <v>176.23599999999999</v>
      </c>
      <c r="R110" s="25">
        <f t="shared" si="34"/>
        <v>175.76300000000001</v>
      </c>
      <c r="S110" s="25">
        <f t="shared" si="34"/>
        <v>176.18100000000001</v>
      </c>
      <c r="T110" s="25">
        <f t="shared" si="34"/>
        <v>175.78100000000001</v>
      </c>
      <c r="U110" s="42"/>
      <c r="V110" s="42"/>
      <c r="W110" s="42"/>
    </row>
    <row r="111" spans="1:23" x14ac:dyDescent="0.25">
      <c r="A111" s="1">
        <v>109</v>
      </c>
      <c r="B111" s="2">
        <v>81.594999999999999</v>
      </c>
      <c r="C111" s="2">
        <v>94.281999999999996</v>
      </c>
      <c r="D111" s="2">
        <v>175.9</v>
      </c>
      <c r="E111" s="2">
        <v>2.0499999999999998</v>
      </c>
      <c r="F111" s="2">
        <v>2.6579999999999999</v>
      </c>
      <c r="H111" s="6">
        <v>25</v>
      </c>
      <c r="I111" s="25">
        <f t="shared" si="34"/>
        <v>175.51300000000001</v>
      </c>
      <c r="J111" s="25">
        <f t="shared" si="34"/>
        <v>175.84100000000001</v>
      </c>
      <c r="K111" s="25">
        <f t="shared" si="34"/>
        <v>176.49100000000001</v>
      </c>
      <c r="L111" s="25">
        <f t="shared" si="34"/>
        <v>176.05799999999999</v>
      </c>
      <c r="M111" s="25">
        <f t="shared" si="34"/>
        <v>175.88200000000001</v>
      </c>
      <c r="N111" s="25">
        <f t="shared" si="34"/>
        <v>176.131</v>
      </c>
      <c r="O111" s="25">
        <f t="shared" si="34"/>
        <v>176.017</v>
      </c>
      <c r="P111" s="25">
        <f t="shared" si="34"/>
        <v>175.89400000000001</v>
      </c>
      <c r="Q111" s="25">
        <f t="shared" si="34"/>
        <v>176.15199999999999</v>
      </c>
      <c r="R111" s="25">
        <f t="shared" si="34"/>
        <v>175.98599999999999</v>
      </c>
      <c r="S111" s="25">
        <f t="shared" si="34"/>
        <v>176.059</v>
      </c>
      <c r="T111" s="25">
        <f t="shared" si="34"/>
        <v>176.149</v>
      </c>
      <c r="U111" s="42"/>
      <c r="V111" s="42"/>
      <c r="W111" s="42"/>
    </row>
    <row r="112" spans="1:23" x14ac:dyDescent="0.25">
      <c r="A112" s="1">
        <v>110</v>
      </c>
      <c r="B112" s="2">
        <v>81.191999999999993</v>
      </c>
      <c r="C112" s="2">
        <v>94.805999999999997</v>
      </c>
      <c r="D112" s="2">
        <v>176.071</v>
      </c>
      <c r="E112" s="2">
        <v>2.2959999999999998</v>
      </c>
      <c r="F112" s="2">
        <v>2.1549999999999998</v>
      </c>
      <c r="H112" s="22" t="s">
        <v>0</v>
      </c>
      <c r="I112" s="13">
        <f t="shared" ref="I112:T112" si="35">AVERAGE(I87:I111)</f>
        <v>175.89972</v>
      </c>
      <c r="J112" s="14">
        <f t="shared" si="35"/>
        <v>176.0204</v>
      </c>
      <c r="K112" s="14">
        <f t="shared" si="35"/>
        <v>176.08232000000001</v>
      </c>
      <c r="L112" s="14">
        <f t="shared" si="35"/>
        <v>175.94892000000004</v>
      </c>
      <c r="M112" s="14">
        <f t="shared" si="35"/>
        <v>176.00459999999998</v>
      </c>
      <c r="N112" s="14">
        <f t="shared" si="35"/>
        <v>176.00600000000003</v>
      </c>
      <c r="O112" s="14">
        <f t="shared" si="35"/>
        <v>176.14260000000002</v>
      </c>
      <c r="P112" s="14">
        <f t="shared" si="35"/>
        <v>175.99639999999999</v>
      </c>
      <c r="Q112" s="14">
        <f t="shared" si="35"/>
        <v>176.03724</v>
      </c>
      <c r="R112" s="14">
        <f t="shared" si="35"/>
        <v>175.99835999999999</v>
      </c>
      <c r="S112" s="14">
        <f t="shared" si="35"/>
        <v>175.91816</v>
      </c>
      <c r="T112" s="15">
        <f t="shared" si="35"/>
        <v>175.99948000000001</v>
      </c>
      <c r="U112" s="50"/>
      <c r="V112" s="50"/>
      <c r="W112" s="50"/>
    </row>
    <row r="113" spans="1:23" x14ac:dyDescent="0.25">
      <c r="A113" s="1">
        <v>111</v>
      </c>
      <c r="B113" s="2">
        <v>81.346000000000004</v>
      </c>
      <c r="C113" s="2">
        <v>94.653000000000006</v>
      </c>
      <c r="D113" s="2">
        <v>176.05</v>
      </c>
      <c r="E113" s="2">
        <v>2.2480000000000002</v>
      </c>
      <c r="F113" s="2">
        <v>2.0699999999999998</v>
      </c>
      <c r="H113" s="23" t="s">
        <v>1</v>
      </c>
      <c r="I113" s="16">
        <f>3*STDEV(I87:I111)</f>
        <v>0.85849221895134575</v>
      </c>
      <c r="J113" s="17">
        <f t="shared" ref="J113:T113" si="36">3*STDEV(J87:J111)</f>
        <v>0.42391036788452735</v>
      </c>
      <c r="K113" s="17">
        <f t="shared" si="36"/>
        <v>0.65006022028732602</v>
      </c>
      <c r="L113" s="17">
        <f t="shared" si="36"/>
        <v>0.50227824957885181</v>
      </c>
      <c r="M113" s="17">
        <f t="shared" si="36"/>
        <v>0.56501039813440412</v>
      </c>
      <c r="N113" s="17">
        <f t="shared" si="36"/>
        <v>0.59545528799398539</v>
      </c>
      <c r="O113" s="17">
        <f t="shared" si="36"/>
        <v>0.56121319478429299</v>
      </c>
      <c r="P113" s="17">
        <f t="shared" si="36"/>
        <v>0.63388918589923171</v>
      </c>
      <c r="Q113" s="17">
        <f t="shared" si="36"/>
        <v>0.48245721053788276</v>
      </c>
      <c r="R113" s="17">
        <f t="shared" si="36"/>
        <v>0.62397408600036686</v>
      </c>
      <c r="S113" s="17">
        <f t="shared" si="36"/>
        <v>0.55850358996160099</v>
      </c>
      <c r="T113" s="18">
        <f t="shared" si="36"/>
        <v>0.53958395083619382</v>
      </c>
      <c r="U113" s="50"/>
      <c r="V113" s="50"/>
      <c r="W113" s="50"/>
    </row>
    <row r="114" spans="1:23" x14ac:dyDescent="0.25">
      <c r="A114" s="1">
        <v>112</v>
      </c>
      <c r="B114" s="2">
        <v>81.215999999999994</v>
      </c>
      <c r="C114" s="2">
        <v>94.88</v>
      </c>
      <c r="D114" s="2">
        <v>176.13300000000001</v>
      </c>
      <c r="E114" s="2">
        <v>2.2120000000000002</v>
      </c>
      <c r="F114" s="2">
        <v>1.7949999999999999</v>
      </c>
      <c r="H114" s="23" t="s">
        <v>2</v>
      </c>
      <c r="I114" s="16">
        <f>MAX(I87:I111)</f>
        <v>176.381</v>
      </c>
      <c r="J114" s="17">
        <f t="shared" ref="J114:T114" si="37">MAX(J87:J111)</f>
        <v>176.346</v>
      </c>
      <c r="K114" s="17">
        <f t="shared" si="37"/>
        <v>176.49100000000001</v>
      </c>
      <c r="L114" s="17">
        <f t="shared" si="37"/>
        <v>176.285</v>
      </c>
      <c r="M114" s="17">
        <f t="shared" si="37"/>
        <v>176.43199999999999</v>
      </c>
      <c r="N114" s="17">
        <f t="shared" si="37"/>
        <v>176.49299999999999</v>
      </c>
      <c r="O114" s="17">
        <f t="shared" si="37"/>
        <v>176.50899999999999</v>
      </c>
      <c r="P114" s="17">
        <f t="shared" si="37"/>
        <v>176.422</v>
      </c>
      <c r="Q114" s="17">
        <f t="shared" si="37"/>
        <v>176.32499999999999</v>
      </c>
      <c r="R114" s="17">
        <f t="shared" si="37"/>
        <v>176.482</v>
      </c>
      <c r="S114" s="17">
        <f t="shared" si="37"/>
        <v>176.2</v>
      </c>
      <c r="T114" s="18">
        <f t="shared" si="37"/>
        <v>176.34399999999999</v>
      </c>
      <c r="U114" s="50"/>
      <c r="V114" s="50"/>
      <c r="W114" s="50"/>
    </row>
    <row r="115" spans="1:23" x14ac:dyDescent="0.25">
      <c r="A115" s="1">
        <v>113</v>
      </c>
      <c r="B115" s="2">
        <v>81.441999999999993</v>
      </c>
      <c r="C115" s="2">
        <v>94.814999999999998</v>
      </c>
      <c r="D115" s="2">
        <v>176.2</v>
      </c>
      <c r="E115" s="2">
        <v>2.1059999999999999</v>
      </c>
      <c r="F115" s="2">
        <v>2.661</v>
      </c>
      <c r="H115" s="23" t="s">
        <v>3</v>
      </c>
      <c r="I115" s="16">
        <f>MIN(I87:I111)</f>
        <v>175.51300000000001</v>
      </c>
      <c r="J115" s="17">
        <f t="shared" ref="J115:T115" si="38">MIN(J87:J111)</f>
        <v>175.751</v>
      </c>
      <c r="K115" s="17">
        <f t="shared" si="38"/>
        <v>175.374</v>
      </c>
      <c r="L115" s="17">
        <f t="shared" si="38"/>
        <v>175.56100000000001</v>
      </c>
      <c r="M115" s="17">
        <f t="shared" si="38"/>
        <v>175.63499999999999</v>
      </c>
      <c r="N115" s="17">
        <f t="shared" si="38"/>
        <v>175.71</v>
      </c>
      <c r="O115" s="17">
        <f t="shared" si="38"/>
        <v>175.696</v>
      </c>
      <c r="P115" s="17">
        <f t="shared" si="38"/>
        <v>175.72</v>
      </c>
      <c r="Q115" s="17">
        <f t="shared" si="38"/>
        <v>175.77699999999999</v>
      </c>
      <c r="R115" s="17">
        <f t="shared" si="38"/>
        <v>175.67500000000001</v>
      </c>
      <c r="S115" s="17">
        <f t="shared" si="38"/>
        <v>175.565</v>
      </c>
      <c r="T115" s="18">
        <f t="shared" si="38"/>
        <v>175.68899999999999</v>
      </c>
      <c r="U115" s="50"/>
      <c r="V115" s="50"/>
      <c r="W115" s="50"/>
    </row>
    <row r="116" spans="1:23" x14ac:dyDescent="0.25">
      <c r="A116" s="1">
        <v>114</v>
      </c>
      <c r="B116" s="2">
        <v>80.92</v>
      </c>
      <c r="C116" s="2">
        <v>94.906999999999996</v>
      </c>
      <c r="D116" s="2">
        <v>175.82300000000001</v>
      </c>
      <c r="E116" s="2">
        <v>1.9470000000000001</v>
      </c>
      <c r="F116" s="2">
        <v>1.8919999999999999</v>
      </c>
      <c r="H116" s="24" t="s">
        <v>4</v>
      </c>
      <c r="I116" s="19">
        <f t="shared" ref="I116:T116" si="39">I114-I115</f>
        <v>0.867999999999995</v>
      </c>
      <c r="J116" s="20">
        <f t="shared" si="39"/>
        <v>0.59499999999999886</v>
      </c>
      <c r="K116" s="20">
        <f t="shared" si="39"/>
        <v>1.1170000000000186</v>
      </c>
      <c r="L116" s="20">
        <f t="shared" si="39"/>
        <v>0.72399999999998954</v>
      </c>
      <c r="M116" s="20">
        <f t="shared" si="39"/>
        <v>0.79699999999999704</v>
      </c>
      <c r="N116" s="20">
        <f t="shared" si="39"/>
        <v>0.78299999999998704</v>
      </c>
      <c r="O116" s="20">
        <f t="shared" si="39"/>
        <v>0.81299999999998818</v>
      </c>
      <c r="P116" s="20">
        <f t="shared" si="39"/>
        <v>0.70199999999999818</v>
      </c>
      <c r="Q116" s="20">
        <f t="shared" si="39"/>
        <v>0.54800000000000182</v>
      </c>
      <c r="R116" s="20">
        <f t="shared" si="39"/>
        <v>0.80699999999998795</v>
      </c>
      <c r="S116" s="20">
        <f t="shared" si="39"/>
        <v>0.63499999999999091</v>
      </c>
      <c r="T116" s="21">
        <f t="shared" si="39"/>
        <v>0.65500000000000114</v>
      </c>
      <c r="U116" s="50"/>
      <c r="V116" s="50"/>
      <c r="W116" s="50"/>
    </row>
    <row r="117" spans="1:23" x14ac:dyDescent="0.25">
      <c r="A117" s="1">
        <v>115</v>
      </c>
      <c r="B117" s="2">
        <v>81.096000000000004</v>
      </c>
      <c r="C117" s="2">
        <v>94.5</v>
      </c>
      <c r="D117" s="2">
        <v>175.565</v>
      </c>
      <c r="E117" s="2">
        <v>1.9810000000000001</v>
      </c>
      <c r="F117" s="2">
        <v>2.198</v>
      </c>
      <c r="H117" s="7"/>
    </row>
    <row r="118" spans="1:23" x14ac:dyDescent="0.25">
      <c r="A118" s="1">
        <v>116</v>
      </c>
      <c r="B118" s="2">
        <v>81.331999999999994</v>
      </c>
      <c r="C118" s="2">
        <v>94.510999999999996</v>
      </c>
      <c r="D118" s="2">
        <v>175.89400000000001</v>
      </c>
      <c r="E118" s="2">
        <v>2.169</v>
      </c>
      <c r="F118" s="2">
        <v>2.456</v>
      </c>
      <c r="H118" s="7"/>
    </row>
    <row r="119" spans="1:23" x14ac:dyDescent="0.25">
      <c r="A119" s="1">
        <v>117</v>
      </c>
      <c r="B119" s="2">
        <v>81.058000000000007</v>
      </c>
      <c r="C119" s="2">
        <v>94.71</v>
      </c>
      <c r="D119" s="2">
        <v>175.75</v>
      </c>
      <c r="E119" s="2">
        <v>2.7109999999999999</v>
      </c>
      <c r="F119" s="2">
        <v>2.7519999999999998</v>
      </c>
      <c r="H119" s="7"/>
    </row>
    <row r="120" spans="1:23" x14ac:dyDescent="0.25">
      <c r="A120" s="1">
        <v>118</v>
      </c>
      <c r="B120" s="2">
        <v>81.275000000000006</v>
      </c>
      <c r="C120" s="2">
        <v>94.405000000000001</v>
      </c>
      <c r="D120" s="2">
        <v>175.66300000000001</v>
      </c>
      <c r="E120" s="2">
        <v>2.0139999999999998</v>
      </c>
      <c r="F120" s="2">
        <v>2.5579999999999998</v>
      </c>
      <c r="H120" s="7"/>
    </row>
    <row r="121" spans="1:23" x14ac:dyDescent="0.25">
      <c r="A121" s="1">
        <v>119</v>
      </c>
      <c r="B121" s="2">
        <v>81.293000000000006</v>
      </c>
      <c r="C121" s="2">
        <v>94.682000000000002</v>
      </c>
      <c r="D121" s="2">
        <v>175.97</v>
      </c>
      <c r="E121" s="2">
        <v>2.2749999999999999</v>
      </c>
      <c r="F121" s="2">
        <v>1.49</v>
      </c>
      <c r="H121" s="7"/>
    </row>
    <row r="122" spans="1:23" x14ac:dyDescent="0.25">
      <c r="A122" s="1">
        <v>120</v>
      </c>
      <c r="B122" s="2">
        <v>81.326999999999998</v>
      </c>
      <c r="C122" s="2">
        <v>94.557000000000002</v>
      </c>
      <c r="D122" s="2">
        <v>175.934</v>
      </c>
      <c r="E122" s="2">
        <v>2.883</v>
      </c>
      <c r="F122" s="2">
        <v>2.6059999999999999</v>
      </c>
      <c r="H122" s="7"/>
    </row>
    <row r="123" spans="1:23" x14ac:dyDescent="0.25">
      <c r="A123" s="1">
        <v>121</v>
      </c>
      <c r="B123" s="2">
        <v>81.248000000000005</v>
      </c>
      <c r="C123" s="2">
        <v>94.853999999999999</v>
      </c>
      <c r="D123" s="2">
        <v>176.148</v>
      </c>
      <c r="E123" s="2">
        <v>2.456</v>
      </c>
      <c r="F123" s="2">
        <v>2.0169999999999999</v>
      </c>
      <c r="H123" s="7"/>
    </row>
    <row r="124" spans="1:23" x14ac:dyDescent="0.25">
      <c r="A124" s="1">
        <v>122</v>
      </c>
      <c r="B124" s="2">
        <v>81.296999999999997</v>
      </c>
      <c r="C124" s="2">
        <v>94.513999999999996</v>
      </c>
      <c r="D124" s="2">
        <v>175.78399999999999</v>
      </c>
      <c r="E124" s="2">
        <v>2.2149999999999999</v>
      </c>
      <c r="F124" s="2">
        <v>2.081</v>
      </c>
      <c r="H124" s="7"/>
    </row>
    <row r="125" spans="1:23" x14ac:dyDescent="0.25">
      <c r="A125" s="1">
        <v>123</v>
      </c>
      <c r="B125" s="2">
        <v>81.510000000000005</v>
      </c>
      <c r="C125" s="2">
        <v>94.326999999999998</v>
      </c>
      <c r="D125" s="2">
        <v>175.839</v>
      </c>
      <c r="E125" s="2">
        <v>2.036</v>
      </c>
      <c r="F125" s="2">
        <v>1.528</v>
      </c>
      <c r="H125" s="7"/>
    </row>
    <row r="126" spans="1:23" x14ac:dyDescent="0.25">
      <c r="A126" s="1">
        <v>124</v>
      </c>
      <c r="B126" s="2">
        <v>81.442999999999998</v>
      </c>
      <c r="C126" s="2">
        <v>94.734999999999999</v>
      </c>
      <c r="D126" s="2">
        <v>176.18100000000001</v>
      </c>
      <c r="E126" s="2">
        <v>1.6579999999999999</v>
      </c>
      <c r="F126" s="2">
        <v>1.7529999999999999</v>
      </c>
      <c r="H126" s="7"/>
    </row>
    <row r="127" spans="1:23" x14ac:dyDescent="0.25">
      <c r="A127" s="1">
        <v>125</v>
      </c>
      <c r="B127" s="2">
        <v>81.507999999999996</v>
      </c>
      <c r="C127" s="2">
        <v>94.566999999999993</v>
      </c>
      <c r="D127" s="2">
        <v>176.059</v>
      </c>
      <c r="E127" s="2">
        <v>1.962</v>
      </c>
      <c r="F127" s="2">
        <v>2.2530000000000001</v>
      </c>
      <c r="H127" s="7"/>
    </row>
    <row r="128" spans="1:23" x14ac:dyDescent="0.25">
      <c r="A128" s="1">
        <v>126</v>
      </c>
      <c r="B128" s="2">
        <v>80.787999999999997</v>
      </c>
      <c r="C128" s="2">
        <v>95.361000000000004</v>
      </c>
      <c r="D128" s="2">
        <v>176.15799999999999</v>
      </c>
      <c r="E128" s="2">
        <v>2.0579999999999998</v>
      </c>
      <c r="F128" s="2">
        <v>2.496</v>
      </c>
      <c r="H128" s="7"/>
    </row>
    <row r="129" spans="1:8" x14ac:dyDescent="0.25">
      <c r="A129" s="1">
        <v>127</v>
      </c>
      <c r="B129" s="2">
        <v>80.921000000000006</v>
      </c>
      <c r="C129" s="2">
        <v>94.850999999999999</v>
      </c>
      <c r="D129" s="2">
        <v>175.79400000000001</v>
      </c>
      <c r="E129" s="2">
        <v>2.2309999999999999</v>
      </c>
      <c r="F129" s="2">
        <v>2.4729999999999999</v>
      </c>
      <c r="H129" s="7"/>
    </row>
    <row r="130" spans="1:8" x14ac:dyDescent="0.25">
      <c r="A130" s="1">
        <v>128</v>
      </c>
      <c r="B130" s="2">
        <v>81.438000000000002</v>
      </c>
      <c r="C130" s="2">
        <v>94.652000000000001</v>
      </c>
      <c r="D130" s="2">
        <v>176.06200000000001</v>
      </c>
      <c r="E130" s="2">
        <v>1.9990000000000001</v>
      </c>
      <c r="F130" s="2">
        <v>2.0289999999999999</v>
      </c>
      <c r="H130" s="7"/>
    </row>
    <row r="131" spans="1:8" x14ac:dyDescent="0.25">
      <c r="A131" s="1">
        <v>129</v>
      </c>
      <c r="B131" s="2">
        <v>81.216999999999999</v>
      </c>
      <c r="C131" s="2">
        <v>94.87</v>
      </c>
      <c r="D131" s="2">
        <v>176.08699999999999</v>
      </c>
      <c r="E131" s="2">
        <v>2.5459999999999998</v>
      </c>
      <c r="F131" s="2">
        <v>2.1240000000000001</v>
      </c>
      <c r="H131" s="7"/>
    </row>
    <row r="132" spans="1:8" x14ac:dyDescent="0.25">
      <c r="A132" s="1">
        <v>130</v>
      </c>
      <c r="B132" s="2">
        <v>81.298000000000002</v>
      </c>
      <c r="C132" s="2">
        <v>94.73</v>
      </c>
      <c r="D132" s="2">
        <v>176.172</v>
      </c>
      <c r="E132" s="2">
        <v>2.448</v>
      </c>
      <c r="F132" s="2">
        <v>2.589</v>
      </c>
      <c r="H132" s="7"/>
    </row>
    <row r="133" spans="1:8" x14ac:dyDescent="0.25">
      <c r="A133" s="1">
        <v>131</v>
      </c>
      <c r="B133" s="2">
        <v>80.97</v>
      </c>
      <c r="C133" s="2">
        <v>95.146000000000001</v>
      </c>
      <c r="D133" s="2">
        <v>176.11199999999999</v>
      </c>
      <c r="E133" s="2">
        <v>2.3159999999999998</v>
      </c>
      <c r="F133" s="2">
        <v>2.1760000000000002</v>
      </c>
      <c r="H133" s="7"/>
    </row>
    <row r="134" spans="1:8" x14ac:dyDescent="0.25">
      <c r="A134" s="1">
        <v>132</v>
      </c>
      <c r="B134" s="2">
        <v>81.116</v>
      </c>
      <c r="C134" s="2">
        <v>94.825999999999993</v>
      </c>
      <c r="D134" s="2">
        <v>176</v>
      </c>
      <c r="E134" s="2">
        <v>2.1320000000000001</v>
      </c>
      <c r="F134" s="2">
        <v>2.2749999999999999</v>
      </c>
      <c r="H134" s="7"/>
    </row>
    <row r="135" spans="1:8" x14ac:dyDescent="0.25">
      <c r="A135" s="1">
        <v>133</v>
      </c>
      <c r="B135" s="2">
        <v>81.605999999999995</v>
      </c>
      <c r="C135" s="2">
        <v>94.477999999999994</v>
      </c>
      <c r="D135" s="2">
        <v>176.15799999999999</v>
      </c>
      <c r="E135" s="2">
        <v>2.0379999999999998</v>
      </c>
      <c r="F135" s="2">
        <v>2.2149999999999999</v>
      </c>
      <c r="H135" s="7"/>
    </row>
    <row r="136" spans="1:8" x14ac:dyDescent="0.25">
      <c r="A136" s="1">
        <v>134</v>
      </c>
      <c r="B136" s="2">
        <v>81.013999999999996</v>
      </c>
      <c r="C136" s="2">
        <v>94.724000000000004</v>
      </c>
      <c r="D136" s="2">
        <v>175.744</v>
      </c>
      <c r="E136" s="2">
        <v>2.282</v>
      </c>
      <c r="F136" s="2">
        <v>1.587</v>
      </c>
      <c r="H136" s="7"/>
    </row>
    <row r="137" spans="1:8" x14ac:dyDescent="0.25">
      <c r="A137" s="1">
        <v>135</v>
      </c>
      <c r="B137" s="2">
        <v>81.498999999999995</v>
      </c>
      <c r="C137" s="2">
        <v>94.813000000000002</v>
      </c>
      <c r="D137" s="2">
        <v>176.34399999999999</v>
      </c>
      <c r="E137" s="2">
        <v>2.2890000000000001</v>
      </c>
      <c r="F137" s="2">
        <v>1.911</v>
      </c>
      <c r="H137" s="7"/>
    </row>
    <row r="138" spans="1:8" x14ac:dyDescent="0.25">
      <c r="A138" s="1">
        <v>136</v>
      </c>
      <c r="B138" s="2">
        <v>81.069999999999993</v>
      </c>
      <c r="C138" s="2">
        <v>94.578000000000003</v>
      </c>
      <c r="D138" s="2">
        <v>175.702</v>
      </c>
      <c r="E138" s="2">
        <v>1.921</v>
      </c>
      <c r="F138" s="2">
        <v>2.2149999999999999</v>
      </c>
      <c r="H138" s="7"/>
    </row>
    <row r="139" spans="1:8" x14ac:dyDescent="0.25">
      <c r="A139" s="1">
        <v>137</v>
      </c>
      <c r="B139" s="2">
        <v>81.385999999999996</v>
      </c>
      <c r="C139" s="2">
        <v>94.584999999999994</v>
      </c>
      <c r="D139" s="2">
        <v>175.934</v>
      </c>
      <c r="E139" s="2">
        <v>2.173</v>
      </c>
      <c r="F139" s="2">
        <v>1.7350000000000001</v>
      </c>
      <c r="H139" s="7"/>
    </row>
    <row r="140" spans="1:8" x14ac:dyDescent="0.25">
      <c r="A140" s="1">
        <v>138</v>
      </c>
      <c r="B140" s="2">
        <v>81.070999999999998</v>
      </c>
      <c r="C140" s="2">
        <v>94.811000000000007</v>
      </c>
      <c r="D140" s="2">
        <v>175.815</v>
      </c>
      <c r="E140" s="2">
        <v>1.96</v>
      </c>
      <c r="F140" s="2">
        <v>1.9850000000000001</v>
      </c>
      <c r="H140" s="7"/>
    </row>
    <row r="141" spans="1:8" x14ac:dyDescent="0.25">
      <c r="A141" s="1">
        <v>139</v>
      </c>
      <c r="B141" s="2">
        <v>81.369</v>
      </c>
      <c r="C141" s="2">
        <v>94.796999999999997</v>
      </c>
      <c r="D141" s="2">
        <v>176.15</v>
      </c>
      <c r="E141" s="2">
        <v>1.992</v>
      </c>
      <c r="F141" s="2">
        <v>1.7010000000000001</v>
      </c>
      <c r="H141" s="7"/>
    </row>
    <row r="142" spans="1:8" x14ac:dyDescent="0.25">
      <c r="A142" s="1">
        <v>140</v>
      </c>
      <c r="B142" s="2">
        <v>81.132000000000005</v>
      </c>
      <c r="C142" s="2">
        <v>94.8</v>
      </c>
      <c r="D142" s="2">
        <v>175.93100000000001</v>
      </c>
      <c r="E142" s="2">
        <v>2.2429999999999999</v>
      </c>
      <c r="F142" s="2">
        <v>1.865</v>
      </c>
      <c r="H142" s="7"/>
    </row>
    <row r="143" spans="1:8" x14ac:dyDescent="0.25">
      <c r="A143" s="1">
        <v>141</v>
      </c>
      <c r="B143" s="2">
        <v>81.227999999999994</v>
      </c>
      <c r="C143" s="2">
        <v>94.668999999999997</v>
      </c>
      <c r="D143" s="2">
        <v>175.95</v>
      </c>
      <c r="E143" s="2">
        <v>2.294</v>
      </c>
      <c r="F143" s="2">
        <v>2.8</v>
      </c>
      <c r="H143" s="7"/>
    </row>
    <row r="144" spans="1:8" x14ac:dyDescent="0.25">
      <c r="A144" s="1">
        <v>142</v>
      </c>
      <c r="B144" s="2">
        <v>80.986999999999995</v>
      </c>
      <c r="C144" s="2">
        <v>94.882999999999996</v>
      </c>
      <c r="D144" s="2">
        <v>175.87899999999999</v>
      </c>
      <c r="E144" s="2">
        <v>2.4</v>
      </c>
      <c r="F144" s="2">
        <v>2.4049999999999998</v>
      </c>
      <c r="H144" s="7"/>
    </row>
    <row r="145" spans="1:8" x14ac:dyDescent="0.25">
      <c r="A145" s="1">
        <v>143</v>
      </c>
      <c r="B145" s="2">
        <v>81.03</v>
      </c>
      <c r="C145" s="2">
        <v>94.837999999999994</v>
      </c>
      <c r="D145" s="2">
        <v>175.89500000000001</v>
      </c>
      <c r="E145" s="2">
        <v>2.2890000000000001</v>
      </c>
      <c r="F145" s="2">
        <v>2.0910000000000002</v>
      </c>
      <c r="H145" s="7"/>
    </row>
    <row r="146" spans="1:8" x14ac:dyDescent="0.25">
      <c r="A146" s="1">
        <v>144</v>
      </c>
      <c r="B146" s="2">
        <v>81.174999999999997</v>
      </c>
      <c r="C146" s="2">
        <v>95.049000000000007</v>
      </c>
      <c r="D146" s="2">
        <v>176.24100000000001</v>
      </c>
      <c r="E146" s="2">
        <v>1.948</v>
      </c>
      <c r="F146" s="2">
        <v>2.7280000000000002</v>
      </c>
      <c r="H146" s="7"/>
    </row>
    <row r="147" spans="1:8" x14ac:dyDescent="0.25">
      <c r="A147" s="1">
        <v>145</v>
      </c>
      <c r="B147" s="2">
        <v>81.102000000000004</v>
      </c>
      <c r="C147" s="2">
        <v>94.93</v>
      </c>
      <c r="D147" s="2">
        <v>176.01400000000001</v>
      </c>
      <c r="E147" s="2">
        <v>2.6389999999999998</v>
      </c>
      <c r="F147" s="2">
        <v>2.0640000000000001</v>
      </c>
    </row>
    <row r="148" spans="1:8" x14ac:dyDescent="0.25">
      <c r="A148" s="1">
        <v>146</v>
      </c>
      <c r="B148" s="2">
        <v>81.156999999999996</v>
      </c>
      <c r="C148" s="2">
        <v>94.44</v>
      </c>
      <c r="D148" s="2">
        <v>175.68899999999999</v>
      </c>
      <c r="E148" s="2">
        <v>2.3340000000000001</v>
      </c>
      <c r="F148" s="2">
        <v>2.274</v>
      </c>
    </row>
    <row r="149" spans="1:8" x14ac:dyDescent="0.25">
      <c r="A149" s="1">
        <v>147</v>
      </c>
      <c r="B149" s="2">
        <v>81.293999999999997</v>
      </c>
      <c r="C149" s="2">
        <v>94.775999999999996</v>
      </c>
      <c r="D149" s="2">
        <v>176.03200000000001</v>
      </c>
      <c r="E149" s="2">
        <v>2.4279999999999999</v>
      </c>
      <c r="F149" s="2">
        <v>2.1150000000000002</v>
      </c>
    </row>
    <row r="150" spans="1:8" x14ac:dyDescent="0.25">
      <c r="A150" s="1">
        <v>148</v>
      </c>
      <c r="B150" s="2">
        <v>81.548000000000002</v>
      </c>
      <c r="C150" s="2">
        <v>94.703000000000003</v>
      </c>
      <c r="D150" s="2">
        <v>176.19399999999999</v>
      </c>
      <c r="E150" s="2">
        <v>2.0310000000000001</v>
      </c>
      <c r="F150" s="2">
        <v>1.5649999999999999</v>
      </c>
    </row>
    <row r="151" spans="1:8" x14ac:dyDescent="0.25">
      <c r="A151" s="1">
        <v>149</v>
      </c>
      <c r="B151" s="2">
        <v>81.230999999999995</v>
      </c>
      <c r="C151" s="2">
        <v>94.572999999999993</v>
      </c>
      <c r="D151" s="2">
        <v>175.78100000000001</v>
      </c>
      <c r="E151" s="2">
        <v>2.637</v>
      </c>
      <c r="F151" s="2">
        <v>2.1040000000000001</v>
      </c>
    </row>
    <row r="152" spans="1:8" x14ac:dyDescent="0.25">
      <c r="A152" s="1">
        <v>150</v>
      </c>
      <c r="B152" s="2">
        <v>81.331000000000003</v>
      </c>
      <c r="C152" s="2">
        <v>94.828999999999994</v>
      </c>
      <c r="D152" s="2">
        <v>176.149</v>
      </c>
      <c r="E152" s="2">
        <v>2.7890000000000001</v>
      </c>
      <c r="F152" s="2">
        <v>2.3149999999999999</v>
      </c>
    </row>
    <row r="153" spans="1:8" x14ac:dyDescent="0.25">
      <c r="A153" s="1">
        <v>151</v>
      </c>
      <c r="B153" s="2">
        <v>80.849999999999994</v>
      </c>
      <c r="C153" s="2">
        <v>94.722999999999999</v>
      </c>
      <c r="D153" s="2">
        <v>175.58799999999999</v>
      </c>
      <c r="E153" s="2">
        <v>1.6240000000000001</v>
      </c>
      <c r="F153" s="2">
        <v>2.1440000000000001</v>
      </c>
    </row>
    <row r="154" spans="1:8" x14ac:dyDescent="0.25">
      <c r="A154" s="1">
        <v>152</v>
      </c>
      <c r="B154" s="2">
        <v>80.748000000000005</v>
      </c>
      <c r="C154" s="2">
        <v>95.227999999999994</v>
      </c>
      <c r="D154" s="2">
        <v>176.054</v>
      </c>
      <c r="E154" s="2">
        <v>2.1970000000000001</v>
      </c>
      <c r="F154" s="2">
        <v>2.032</v>
      </c>
    </row>
    <row r="155" spans="1:8" x14ac:dyDescent="0.25">
      <c r="A155" s="1">
        <v>153</v>
      </c>
      <c r="B155" s="2">
        <v>81.427000000000007</v>
      </c>
      <c r="C155" s="2">
        <v>94.879000000000005</v>
      </c>
      <c r="D155" s="2">
        <v>176.36699999999999</v>
      </c>
      <c r="E155" s="2">
        <v>2.0470000000000002</v>
      </c>
      <c r="F155" s="2">
        <v>2.109</v>
      </c>
    </row>
    <row r="156" spans="1:8" x14ac:dyDescent="0.25">
      <c r="A156" s="1">
        <v>154</v>
      </c>
      <c r="B156" s="2">
        <v>80.998999999999995</v>
      </c>
      <c r="C156" s="2">
        <v>94.617999999999995</v>
      </c>
      <c r="D156" s="2">
        <v>175.68299999999999</v>
      </c>
      <c r="E156" s="2">
        <v>2.0630000000000002</v>
      </c>
      <c r="F156" s="2">
        <v>2.194</v>
      </c>
    </row>
    <row r="157" spans="1:8" x14ac:dyDescent="0.25">
      <c r="A157" s="1">
        <v>155</v>
      </c>
      <c r="B157" s="2">
        <v>80.917000000000002</v>
      </c>
      <c r="C157" s="2">
        <v>94.906999999999996</v>
      </c>
      <c r="D157" s="2">
        <v>175.81100000000001</v>
      </c>
      <c r="E157" s="2">
        <v>2.133</v>
      </c>
      <c r="F157" s="2">
        <v>1.9019999999999999</v>
      </c>
    </row>
    <row r="158" spans="1:8" x14ac:dyDescent="0.25">
      <c r="A158" s="1">
        <v>156</v>
      </c>
      <c r="B158" s="2">
        <v>80.804000000000002</v>
      </c>
      <c r="C158" s="2">
        <v>94.820999999999998</v>
      </c>
      <c r="D158" s="2">
        <v>175.643</v>
      </c>
      <c r="E158" s="2">
        <v>1.984</v>
      </c>
      <c r="F158" s="2">
        <v>1.966</v>
      </c>
    </row>
    <row r="159" spans="1:8" x14ac:dyDescent="0.25">
      <c r="A159" s="1">
        <v>157</v>
      </c>
      <c r="B159" s="2">
        <v>80.819000000000003</v>
      </c>
      <c r="C159" s="2">
        <v>95.527000000000001</v>
      </c>
      <c r="D159" s="2">
        <v>176.381</v>
      </c>
      <c r="E159" s="2">
        <v>2.0529999999999999</v>
      </c>
      <c r="F159" s="2">
        <v>1.9279999999999999</v>
      </c>
    </row>
    <row r="160" spans="1:8" x14ac:dyDescent="0.25">
      <c r="A160" s="1">
        <v>158</v>
      </c>
      <c r="B160" s="2">
        <v>81.132999999999996</v>
      </c>
      <c r="C160" s="2">
        <v>94.745000000000005</v>
      </c>
      <c r="D160" s="2">
        <v>175.91499999999999</v>
      </c>
      <c r="E160" s="2">
        <v>2.484</v>
      </c>
      <c r="F160" s="2">
        <v>1.88</v>
      </c>
    </row>
    <row r="161" spans="1:6" x14ac:dyDescent="0.25">
      <c r="A161" s="1">
        <v>159</v>
      </c>
      <c r="B161" s="2">
        <v>81.375</v>
      </c>
      <c r="C161" s="2">
        <v>94.497</v>
      </c>
      <c r="D161" s="2">
        <v>175.80799999999999</v>
      </c>
      <c r="E161" s="2">
        <v>2.226</v>
      </c>
      <c r="F161" s="2">
        <v>2.012</v>
      </c>
    </row>
    <row r="162" spans="1:6" x14ac:dyDescent="0.25">
      <c r="A162" s="1">
        <v>160</v>
      </c>
      <c r="B162" s="2">
        <v>80.771000000000001</v>
      </c>
      <c r="C162" s="2">
        <v>94.858000000000004</v>
      </c>
      <c r="D162" s="2">
        <v>175.595</v>
      </c>
      <c r="E162" s="2">
        <v>1.766</v>
      </c>
      <c r="F162" s="2">
        <v>2.2250000000000001</v>
      </c>
    </row>
    <row r="163" spans="1:6" x14ac:dyDescent="0.25">
      <c r="A163" s="1">
        <v>161</v>
      </c>
      <c r="B163" s="2">
        <v>81.244</v>
      </c>
      <c r="C163" s="2">
        <v>94.653999999999996</v>
      </c>
      <c r="D163" s="2">
        <v>175.91800000000001</v>
      </c>
      <c r="E163" s="2">
        <v>1.992</v>
      </c>
      <c r="F163" s="2">
        <v>2.0539999999999998</v>
      </c>
    </row>
    <row r="164" spans="1:6" x14ac:dyDescent="0.25">
      <c r="A164" s="1">
        <v>162</v>
      </c>
      <c r="B164" s="2">
        <v>80.83</v>
      </c>
      <c r="C164" s="2">
        <v>95.501999999999995</v>
      </c>
      <c r="D164" s="2">
        <v>176.31800000000001</v>
      </c>
      <c r="E164" s="2">
        <v>2.121</v>
      </c>
      <c r="F164" s="2">
        <v>1.8340000000000001</v>
      </c>
    </row>
    <row r="165" spans="1:6" x14ac:dyDescent="0.25">
      <c r="A165" s="1">
        <v>163</v>
      </c>
      <c r="B165" s="2">
        <v>81.314999999999998</v>
      </c>
      <c r="C165" s="2">
        <v>94.908000000000001</v>
      </c>
      <c r="D165" s="2">
        <v>176.21600000000001</v>
      </c>
      <c r="E165" s="2">
        <v>1.5369999999999999</v>
      </c>
      <c r="F165" s="2">
        <v>1.7569999999999999</v>
      </c>
    </row>
    <row r="166" spans="1:6" x14ac:dyDescent="0.25">
      <c r="A166" s="1">
        <v>164</v>
      </c>
      <c r="B166" s="2">
        <v>81.126000000000005</v>
      </c>
      <c r="C166" s="2">
        <v>94.778999999999996</v>
      </c>
      <c r="D166" s="2">
        <v>175.96100000000001</v>
      </c>
      <c r="E166" s="2">
        <v>1.853</v>
      </c>
      <c r="F166" s="2">
        <v>1.9339999999999999</v>
      </c>
    </row>
    <row r="167" spans="1:6" x14ac:dyDescent="0.25">
      <c r="A167" s="1">
        <v>165</v>
      </c>
      <c r="B167" s="2">
        <v>80.650999999999996</v>
      </c>
      <c r="C167" s="2">
        <v>95.009</v>
      </c>
      <c r="D167" s="2">
        <v>175.63</v>
      </c>
      <c r="E167" s="2">
        <v>2.0910000000000002</v>
      </c>
      <c r="F167" s="2">
        <v>1.9690000000000001</v>
      </c>
    </row>
    <row r="168" spans="1:6" x14ac:dyDescent="0.25">
      <c r="A168" s="1">
        <v>166</v>
      </c>
      <c r="B168" s="2">
        <v>81.231999999999999</v>
      </c>
      <c r="C168" s="2">
        <v>94.611000000000004</v>
      </c>
      <c r="D168" s="2">
        <v>175.83699999999999</v>
      </c>
      <c r="E168" s="2">
        <v>2.1890000000000001</v>
      </c>
      <c r="F168" s="2">
        <v>1.9350000000000001</v>
      </c>
    </row>
    <row r="169" spans="1:6" x14ac:dyDescent="0.25">
      <c r="A169" s="1">
        <v>167</v>
      </c>
      <c r="B169" s="2">
        <v>80.498000000000005</v>
      </c>
      <c r="C169" s="2">
        <v>95.751999999999995</v>
      </c>
      <c r="D169" s="2">
        <v>176.333</v>
      </c>
      <c r="E169" s="2">
        <v>2.1309999999999998</v>
      </c>
      <c r="F169" s="2">
        <v>1.827</v>
      </c>
    </row>
    <row r="170" spans="1:6" x14ac:dyDescent="0.25">
      <c r="A170" s="1">
        <v>168</v>
      </c>
      <c r="B170" s="2">
        <v>81.363</v>
      </c>
      <c r="C170" s="2">
        <v>94.82</v>
      </c>
      <c r="D170" s="2">
        <v>176.20400000000001</v>
      </c>
      <c r="E170" s="2">
        <v>2.0569999999999999</v>
      </c>
      <c r="F170" s="2">
        <v>2.1190000000000002</v>
      </c>
    </row>
    <row r="171" spans="1:6" x14ac:dyDescent="0.25">
      <c r="A171" s="1">
        <v>169</v>
      </c>
      <c r="B171" s="2">
        <v>81.057000000000002</v>
      </c>
      <c r="C171" s="2">
        <v>94.593999999999994</v>
      </c>
      <c r="D171" s="2">
        <v>175.559</v>
      </c>
      <c r="E171" s="2">
        <v>2.4950000000000001</v>
      </c>
      <c r="F171" s="2">
        <v>1.5049999999999999</v>
      </c>
    </row>
    <row r="172" spans="1:6" x14ac:dyDescent="0.25">
      <c r="A172" s="1">
        <v>170</v>
      </c>
      <c r="B172" s="2">
        <v>80.856999999999999</v>
      </c>
      <c r="C172" s="2">
        <v>94.745999999999995</v>
      </c>
      <c r="D172" s="2">
        <v>175.55199999999999</v>
      </c>
      <c r="E172" s="2">
        <v>2.1680000000000001</v>
      </c>
      <c r="F172" s="2">
        <v>1.956</v>
      </c>
    </row>
    <row r="173" spans="1:6" x14ac:dyDescent="0.25">
      <c r="A173" s="1">
        <v>171</v>
      </c>
      <c r="B173" s="2">
        <v>81.126999999999995</v>
      </c>
      <c r="C173" s="2">
        <v>94.42</v>
      </c>
      <c r="D173" s="2">
        <v>175.60400000000001</v>
      </c>
      <c r="E173" s="2">
        <v>1.712</v>
      </c>
      <c r="F173" s="2">
        <v>1.8049999999999999</v>
      </c>
    </row>
    <row r="174" spans="1:6" x14ac:dyDescent="0.25">
      <c r="A174" s="1">
        <v>172</v>
      </c>
      <c r="B174" s="2">
        <v>80.709999999999994</v>
      </c>
      <c r="C174" s="2">
        <v>95.343000000000004</v>
      </c>
      <c r="D174" s="2">
        <v>176.03299999999999</v>
      </c>
      <c r="E174" s="2">
        <v>2.246</v>
      </c>
      <c r="F174" s="2">
        <v>1.8009999999999999</v>
      </c>
    </row>
    <row r="175" spans="1:6" x14ac:dyDescent="0.25">
      <c r="A175" s="1">
        <v>173</v>
      </c>
      <c r="B175" s="2">
        <v>81.307000000000002</v>
      </c>
      <c r="C175" s="2">
        <v>94.811000000000007</v>
      </c>
      <c r="D175" s="2">
        <v>176.107</v>
      </c>
      <c r="E175" s="2">
        <v>2.008</v>
      </c>
      <c r="F175" s="2">
        <v>2.0270000000000001</v>
      </c>
    </row>
    <row r="176" spans="1:6" x14ac:dyDescent="0.25">
      <c r="A176" s="1">
        <v>174</v>
      </c>
      <c r="B176" s="2">
        <v>80.884</v>
      </c>
      <c r="C176" s="2">
        <v>94.983000000000004</v>
      </c>
      <c r="D176" s="2">
        <v>175.863</v>
      </c>
      <c r="E176" s="2">
        <v>1.978</v>
      </c>
      <c r="F176" s="2">
        <v>1.925</v>
      </c>
    </row>
    <row r="177" spans="1:6" x14ac:dyDescent="0.25">
      <c r="A177" s="1">
        <v>175</v>
      </c>
      <c r="B177" s="2">
        <v>81.046999999999997</v>
      </c>
      <c r="C177" s="2">
        <v>94.557000000000002</v>
      </c>
      <c r="D177" s="2">
        <v>175.51300000000001</v>
      </c>
      <c r="E177" s="2">
        <v>2.323</v>
      </c>
      <c r="F177" s="2">
        <v>1.7150000000000001</v>
      </c>
    </row>
    <row r="178" spans="1:6" x14ac:dyDescent="0.25">
      <c r="A178" s="1">
        <v>176</v>
      </c>
      <c r="B178" s="2">
        <v>81.325999999999993</v>
      </c>
      <c r="C178" s="2">
        <v>94.793000000000006</v>
      </c>
      <c r="D178" s="2">
        <v>176.209</v>
      </c>
      <c r="E178" s="2">
        <v>2.2959999999999998</v>
      </c>
      <c r="F178" s="2">
        <v>1.9730000000000001</v>
      </c>
    </row>
    <row r="179" spans="1:6" x14ac:dyDescent="0.25">
      <c r="A179" s="1">
        <v>177</v>
      </c>
      <c r="B179" s="2">
        <v>81.099999999999994</v>
      </c>
      <c r="C179" s="2">
        <v>94.929000000000002</v>
      </c>
      <c r="D179" s="2">
        <v>176.06299999999999</v>
      </c>
      <c r="E179" s="2">
        <v>1.9319999999999999</v>
      </c>
      <c r="F179" s="2">
        <v>2.0859999999999999</v>
      </c>
    </row>
    <row r="180" spans="1:6" x14ac:dyDescent="0.25">
      <c r="A180" s="1">
        <v>178</v>
      </c>
      <c r="B180" s="2">
        <v>81.435000000000002</v>
      </c>
      <c r="C180" s="2">
        <v>94.460999999999999</v>
      </c>
      <c r="D180" s="2">
        <v>175.91200000000001</v>
      </c>
      <c r="E180" s="2">
        <v>1.7549999999999999</v>
      </c>
      <c r="F180" s="2">
        <v>2.403</v>
      </c>
    </row>
    <row r="181" spans="1:6" x14ac:dyDescent="0.25">
      <c r="A181" s="1">
        <v>179</v>
      </c>
      <c r="B181" s="2">
        <v>81.284000000000006</v>
      </c>
      <c r="C181" s="2">
        <v>94.96</v>
      </c>
      <c r="D181" s="2">
        <v>176.21899999999999</v>
      </c>
      <c r="E181" s="2">
        <v>1.948</v>
      </c>
      <c r="F181" s="2">
        <v>1.96</v>
      </c>
    </row>
    <row r="182" spans="1:6" x14ac:dyDescent="0.25">
      <c r="A182" s="1">
        <v>180</v>
      </c>
      <c r="B182" s="2">
        <v>81.180999999999997</v>
      </c>
      <c r="C182" s="2">
        <v>94.941000000000003</v>
      </c>
      <c r="D182" s="2">
        <v>176.07</v>
      </c>
      <c r="E182" s="2">
        <v>2.1739999999999999</v>
      </c>
      <c r="F182" s="2">
        <v>1.7809999999999999</v>
      </c>
    </row>
    <row r="183" spans="1:6" x14ac:dyDescent="0.25">
      <c r="A183" s="1">
        <v>181</v>
      </c>
      <c r="B183" s="2">
        <v>81.143000000000001</v>
      </c>
      <c r="C183" s="2">
        <v>94.757999999999996</v>
      </c>
      <c r="D183" s="2">
        <v>175.946</v>
      </c>
      <c r="E183" s="2">
        <v>2.2040000000000002</v>
      </c>
      <c r="F183" s="2">
        <v>1.931</v>
      </c>
    </row>
    <row r="184" spans="1:6" x14ac:dyDescent="0.25">
      <c r="A184" s="1">
        <v>182</v>
      </c>
      <c r="B184" s="2">
        <v>81.346999999999994</v>
      </c>
      <c r="C184" s="2">
        <v>94.563999999999993</v>
      </c>
      <c r="D184" s="2">
        <v>176.048</v>
      </c>
      <c r="E184" s="2">
        <v>2.1960000000000002</v>
      </c>
      <c r="F184" s="2">
        <v>2.2559999999999998</v>
      </c>
    </row>
    <row r="185" spans="1:6" x14ac:dyDescent="0.25">
      <c r="A185" s="1">
        <v>183</v>
      </c>
      <c r="B185" s="2">
        <v>81.177999999999997</v>
      </c>
      <c r="C185" s="2">
        <v>95.06</v>
      </c>
      <c r="D185" s="2">
        <v>176.184</v>
      </c>
      <c r="E185" s="2">
        <v>2.1379999999999999</v>
      </c>
      <c r="F185" s="2">
        <v>2.5539999999999998</v>
      </c>
    </row>
    <row r="186" spans="1:6" x14ac:dyDescent="0.25">
      <c r="A186" s="1">
        <v>184</v>
      </c>
      <c r="B186" s="2">
        <v>81.491</v>
      </c>
      <c r="C186" s="2">
        <v>94.596000000000004</v>
      </c>
      <c r="D186" s="2">
        <v>176.09</v>
      </c>
      <c r="E186" s="2">
        <v>2.3170000000000002</v>
      </c>
      <c r="F186" s="2">
        <v>1.9279999999999999</v>
      </c>
    </row>
    <row r="187" spans="1:6" x14ac:dyDescent="0.25">
      <c r="A187" s="1">
        <v>185</v>
      </c>
      <c r="B187" s="2">
        <v>81.022000000000006</v>
      </c>
      <c r="C187" s="2">
        <v>94.941000000000003</v>
      </c>
      <c r="D187" s="2">
        <v>175.935</v>
      </c>
      <c r="E187" s="2">
        <v>2.0430000000000001</v>
      </c>
      <c r="F187" s="2">
        <v>1.9690000000000001</v>
      </c>
    </row>
    <row r="188" spans="1:6" x14ac:dyDescent="0.25">
      <c r="A188" s="1">
        <v>186</v>
      </c>
      <c r="B188" s="2">
        <v>81.239000000000004</v>
      </c>
      <c r="C188" s="2">
        <v>94.86</v>
      </c>
      <c r="D188" s="2">
        <v>176.06</v>
      </c>
      <c r="E188" s="2">
        <v>1.859</v>
      </c>
      <c r="F188" s="2">
        <v>1.74</v>
      </c>
    </row>
    <row r="189" spans="1:6" x14ac:dyDescent="0.25">
      <c r="A189" s="1">
        <v>187</v>
      </c>
      <c r="B189" s="2">
        <v>81.566000000000003</v>
      </c>
      <c r="C189" s="2">
        <v>94.504000000000005</v>
      </c>
      <c r="D189" s="2">
        <v>176.05500000000001</v>
      </c>
      <c r="E189" s="2">
        <v>2.35</v>
      </c>
      <c r="F189" s="2">
        <v>1.851</v>
      </c>
    </row>
    <row r="190" spans="1:6" x14ac:dyDescent="0.25">
      <c r="A190" s="1">
        <v>188</v>
      </c>
      <c r="B190" s="2">
        <v>81.099000000000004</v>
      </c>
      <c r="C190" s="2">
        <v>94.858999999999995</v>
      </c>
      <c r="D190" s="2">
        <v>175.96600000000001</v>
      </c>
      <c r="E190" s="2">
        <v>1.6950000000000001</v>
      </c>
      <c r="F190" s="2">
        <v>2.41</v>
      </c>
    </row>
    <row r="191" spans="1:6" x14ac:dyDescent="0.25">
      <c r="A191" s="1">
        <v>189</v>
      </c>
      <c r="B191" s="2">
        <v>81.174000000000007</v>
      </c>
      <c r="C191" s="2">
        <v>94.733999999999995</v>
      </c>
      <c r="D191" s="2">
        <v>176.018</v>
      </c>
      <c r="E191" s="2">
        <v>2.23</v>
      </c>
      <c r="F191" s="2">
        <v>2.3879999999999999</v>
      </c>
    </row>
    <row r="192" spans="1:6" x14ac:dyDescent="0.25">
      <c r="A192" s="1">
        <v>190</v>
      </c>
      <c r="B192" s="2">
        <v>81.504999999999995</v>
      </c>
      <c r="C192" s="2">
        <v>94.78</v>
      </c>
      <c r="D192" s="2">
        <v>176.346</v>
      </c>
      <c r="E192" s="2">
        <v>2.17</v>
      </c>
      <c r="F192" s="2">
        <v>1.6319999999999999</v>
      </c>
    </row>
    <row r="193" spans="1:6" x14ac:dyDescent="0.25">
      <c r="A193" s="1">
        <v>191</v>
      </c>
      <c r="B193" s="2">
        <v>81.114999999999995</v>
      </c>
      <c r="C193" s="2">
        <v>94.947000000000003</v>
      </c>
      <c r="D193" s="2">
        <v>176.04900000000001</v>
      </c>
      <c r="E193" s="2">
        <v>1.573</v>
      </c>
      <c r="F193" s="2">
        <v>2.0939999999999999</v>
      </c>
    </row>
    <row r="194" spans="1:6" x14ac:dyDescent="0.25">
      <c r="A194" s="1">
        <v>192</v>
      </c>
      <c r="B194" s="2">
        <v>81.570999999999998</v>
      </c>
      <c r="C194" s="2">
        <v>94.623999999999995</v>
      </c>
      <c r="D194" s="2">
        <v>176.18799999999999</v>
      </c>
      <c r="E194" s="2">
        <v>2.0459999999999998</v>
      </c>
      <c r="F194" s="2">
        <v>2.1190000000000002</v>
      </c>
    </row>
    <row r="195" spans="1:6" x14ac:dyDescent="0.25">
      <c r="A195" s="1">
        <v>193</v>
      </c>
      <c r="B195" s="2">
        <v>81.141000000000005</v>
      </c>
      <c r="C195" s="2">
        <v>95.022999999999996</v>
      </c>
      <c r="D195" s="2">
        <v>176.09100000000001</v>
      </c>
      <c r="E195" s="2">
        <v>1.857</v>
      </c>
      <c r="F195" s="2">
        <v>1.921</v>
      </c>
    </row>
    <row r="196" spans="1:6" x14ac:dyDescent="0.25">
      <c r="A196" s="1">
        <v>194</v>
      </c>
      <c r="B196" s="2">
        <v>81.031000000000006</v>
      </c>
      <c r="C196" s="2">
        <v>94.673000000000002</v>
      </c>
      <c r="D196" s="2">
        <v>175.751</v>
      </c>
      <c r="E196" s="2">
        <v>2.4300000000000002</v>
      </c>
      <c r="F196" s="2">
        <v>2.3879999999999999</v>
      </c>
    </row>
    <row r="197" spans="1:6" x14ac:dyDescent="0.25">
      <c r="A197" s="1">
        <v>195</v>
      </c>
      <c r="B197" s="2">
        <v>81.197000000000003</v>
      </c>
      <c r="C197" s="2">
        <v>94.766999999999996</v>
      </c>
      <c r="D197" s="2">
        <v>175.91900000000001</v>
      </c>
      <c r="E197" s="2">
        <v>1.76</v>
      </c>
      <c r="F197" s="2">
        <v>2.2450000000000001</v>
      </c>
    </row>
    <row r="198" spans="1:6" x14ac:dyDescent="0.25">
      <c r="A198" s="1">
        <v>196</v>
      </c>
      <c r="B198" s="2">
        <v>81.085999999999999</v>
      </c>
      <c r="C198" s="2">
        <v>94.768000000000001</v>
      </c>
      <c r="D198" s="2">
        <v>175.875</v>
      </c>
      <c r="E198" s="2">
        <v>1.865</v>
      </c>
      <c r="F198" s="2">
        <v>2.0739999999999998</v>
      </c>
    </row>
    <row r="199" spans="1:6" x14ac:dyDescent="0.25">
      <c r="A199" s="1">
        <v>197</v>
      </c>
      <c r="B199" s="2">
        <v>81.292000000000002</v>
      </c>
      <c r="C199" s="2">
        <v>94.411000000000001</v>
      </c>
      <c r="D199" s="2">
        <v>175.80799999999999</v>
      </c>
      <c r="E199" s="2">
        <v>1.81</v>
      </c>
      <c r="F199" s="2">
        <v>2.5550000000000002</v>
      </c>
    </row>
    <row r="200" spans="1:6" x14ac:dyDescent="0.25">
      <c r="A200" s="1">
        <v>198</v>
      </c>
      <c r="B200" s="2">
        <v>81.790000000000006</v>
      </c>
      <c r="C200" s="2">
        <v>94.13</v>
      </c>
      <c r="D200" s="2">
        <v>175.95500000000001</v>
      </c>
      <c r="E200" s="2">
        <v>1.9830000000000001</v>
      </c>
      <c r="F200" s="2">
        <v>1.7490000000000001</v>
      </c>
    </row>
    <row r="201" spans="1:6" x14ac:dyDescent="0.25">
      <c r="A201" s="1">
        <v>199</v>
      </c>
      <c r="B201" s="2">
        <v>81.349999999999994</v>
      </c>
      <c r="C201" s="2">
        <v>94.495999999999995</v>
      </c>
      <c r="D201" s="2">
        <v>175.91200000000001</v>
      </c>
      <c r="E201" s="2">
        <v>1.796</v>
      </c>
      <c r="F201" s="2">
        <v>2.2149999999999999</v>
      </c>
    </row>
    <row r="202" spans="1:6" x14ac:dyDescent="0.25">
      <c r="A202" s="1">
        <v>200</v>
      </c>
      <c r="B202" s="2">
        <v>81.346999999999994</v>
      </c>
      <c r="C202" s="2">
        <v>94.519000000000005</v>
      </c>
      <c r="D202" s="2">
        <v>175.84100000000001</v>
      </c>
      <c r="E202" s="2">
        <v>2.1190000000000002</v>
      </c>
      <c r="F202" s="2">
        <v>1.472</v>
      </c>
    </row>
    <row r="203" spans="1:6" x14ac:dyDescent="0.25">
      <c r="A203" s="1">
        <v>201</v>
      </c>
      <c r="B203" s="2">
        <v>81.36</v>
      </c>
      <c r="C203" s="2">
        <v>94.76</v>
      </c>
      <c r="D203" s="2">
        <v>176.19900000000001</v>
      </c>
      <c r="E203" s="2">
        <v>2.1920000000000002</v>
      </c>
      <c r="F203" s="2">
        <v>1.8759999999999999</v>
      </c>
    </row>
    <row r="204" spans="1:6" x14ac:dyDescent="0.25">
      <c r="A204" s="1">
        <v>202</v>
      </c>
      <c r="B204" s="2">
        <v>81.308000000000007</v>
      </c>
      <c r="C204" s="2">
        <v>94.858999999999995</v>
      </c>
      <c r="D204" s="2">
        <v>176.108</v>
      </c>
      <c r="E204" s="2">
        <v>1.9530000000000001</v>
      </c>
      <c r="F204" s="2">
        <v>2.1480000000000001</v>
      </c>
    </row>
    <row r="205" spans="1:6" x14ac:dyDescent="0.25">
      <c r="A205" s="1">
        <v>203</v>
      </c>
      <c r="B205" s="2">
        <v>81.155000000000001</v>
      </c>
      <c r="C205" s="2">
        <v>94.951999999999998</v>
      </c>
      <c r="D205" s="2">
        <v>176.113</v>
      </c>
      <c r="E205" s="2">
        <v>2.1360000000000001</v>
      </c>
      <c r="F205" s="2">
        <v>1.7230000000000001</v>
      </c>
    </row>
    <row r="206" spans="1:6" x14ac:dyDescent="0.25">
      <c r="A206" s="1">
        <v>204</v>
      </c>
      <c r="B206" s="2">
        <v>80.900999999999996</v>
      </c>
      <c r="C206" s="2">
        <v>94.924999999999997</v>
      </c>
      <c r="D206" s="2">
        <v>175.803</v>
      </c>
      <c r="E206" s="2">
        <v>2.57</v>
      </c>
      <c r="F206" s="2">
        <v>1.9510000000000001</v>
      </c>
    </row>
    <row r="207" spans="1:6" x14ac:dyDescent="0.25">
      <c r="A207" s="1">
        <v>205</v>
      </c>
      <c r="B207" s="2">
        <v>80.989999999999995</v>
      </c>
      <c r="C207" s="2">
        <v>94.849000000000004</v>
      </c>
      <c r="D207" s="2">
        <v>175.92599999999999</v>
      </c>
      <c r="E207" s="2">
        <v>2.004</v>
      </c>
      <c r="F207" s="2">
        <v>2.6989999999999998</v>
      </c>
    </row>
    <row r="208" spans="1:6" x14ac:dyDescent="0.25">
      <c r="A208" s="1">
        <v>206</v>
      </c>
      <c r="B208" s="2">
        <v>81.281999999999996</v>
      </c>
      <c r="C208" s="2">
        <v>94.802000000000007</v>
      </c>
      <c r="D208" s="2">
        <v>176.14099999999999</v>
      </c>
      <c r="E208" s="2">
        <v>1.891</v>
      </c>
      <c r="F208" s="2">
        <v>2.0259999999999998</v>
      </c>
    </row>
    <row r="209" spans="1:6" x14ac:dyDescent="0.25">
      <c r="A209" s="1">
        <v>207</v>
      </c>
      <c r="B209" s="2">
        <v>81.317999999999998</v>
      </c>
      <c r="C209" s="2">
        <v>94.692999999999998</v>
      </c>
      <c r="D209" s="2">
        <v>175.93299999999999</v>
      </c>
      <c r="E209" s="2">
        <v>2.3170000000000002</v>
      </c>
      <c r="F209" s="2">
        <v>2.1480000000000001</v>
      </c>
    </row>
    <row r="210" spans="1:6" x14ac:dyDescent="0.25">
      <c r="A210" s="1">
        <v>208</v>
      </c>
      <c r="B210" s="2">
        <v>81.424999999999997</v>
      </c>
      <c r="C210" s="2">
        <v>94.861000000000004</v>
      </c>
      <c r="D210" s="2">
        <v>176.27699999999999</v>
      </c>
      <c r="E210" s="2">
        <v>2.0289999999999999</v>
      </c>
      <c r="F210" s="2">
        <v>2.44</v>
      </c>
    </row>
    <row r="211" spans="1:6" x14ac:dyDescent="0.25">
      <c r="A211" s="1">
        <v>209</v>
      </c>
      <c r="B211" s="2">
        <v>81.346000000000004</v>
      </c>
      <c r="C211" s="2">
        <v>94.632000000000005</v>
      </c>
      <c r="D211" s="2">
        <v>175.94300000000001</v>
      </c>
      <c r="E211" s="2">
        <v>2.35</v>
      </c>
      <c r="F211" s="2">
        <v>2.0259999999999998</v>
      </c>
    </row>
    <row r="212" spans="1:6" x14ac:dyDescent="0.25">
      <c r="A212" s="1">
        <v>210</v>
      </c>
      <c r="B212" s="2">
        <v>81.313999999999993</v>
      </c>
      <c r="C212" s="2">
        <v>94.603999999999999</v>
      </c>
      <c r="D212" s="2">
        <v>175.923</v>
      </c>
      <c r="E212" s="2">
        <v>2.3580000000000001</v>
      </c>
      <c r="F212" s="2">
        <v>2.3319999999999999</v>
      </c>
    </row>
    <row r="213" spans="1:6" x14ac:dyDescent="0.25">
      <c r="A213" s="1">
        <v>211</v>
      </c>
      <c r="B213" s="2">
        <v>81.253</v>
      </c>
      <c r="C213" s="2">
        <v>94.733999999999995</v>
      </c>
      <c r="D213" s="2">
        <v>175.99799999999999</v>
      </c>
      <c r="E213" s="2">
        <v>2.597</v>
      </c>
      <c r="F213" s="2">
        <v>1.5880000000000001</v>
      </c>
    </row>
    <row r="214" spans="1:6" x14ac:dyDescent="0.25">
      <c r="A214" s="1">
        <v>212</v>
      </c>
      <c r="B214" s="2">
        <v>81.403000000000006</v>
      </c>
      <c r="C214" s="2">
        <v>94.78</v>
      </c>
      <c r="D214" s="2">
        <v>176.19200000000001</v>
      </c>
      <c r="E214" s="2">
        <v>2.2410000000000001</v>
      </c>
      <c r="F214" s="2">
        <v>2.5670000000000002</v>
      </c>
    </row>
    <row r="215" spans="1:6" x14ac:dyDescent="0.25">
      <c r="A215" s="1">
        <v>213</v>
      </c>
      <c r="B215" s="2">
        <v>80.897999999999996</v>
      </c>
      <c r="C215" s="2">
        <v>95.18</v>
      </c>
      <c r="D215" s="2">
        <v>176.03200000000001</v>
      </c>
      <c r="E215" s="2">
        <v>2.4780000000000002</v>
      </c>
      <c r="F215" s="2">
        <v>1.659</v>
      </c>
    </row>
    <row r="216" spans="1:6" x14ac:dyDescent="0.25">
      <c r="A216" s="1">
        <v>214</v>
      </c>
      <c r="B216" s="2">
        <v>81.206999999999994</v>
      </c>
      <c r="C216" s="2">
        <v>95.11</v>
      </c>
      <c r="D216" s="2">
        <v>176.32300000000001</v>
      </c>
      <c r="E216" s="2">
        <v>1.9790000000000001</v>
      </c>
      <c r="F216" s="2">
        <v>1.75</v>
      </c>
    </row>
    <row r="217" spans="1:6" x14ac:dyDescent="0.25">
      <c r="A217" s="1">
        <v>215</v>
      </c>
      <c r="B217" s="2">
        <v>81.290999999999997</v>
      </c>
      <c r="C217" s="2">
        <v>94.71</v>
      </c>
      <c r="D217" s="2">
        <v>176.053</v>
      </c>
      <c r="E217" s="2">
        <v>2.2029999999999998</v>
      </c>
      <c r="F217" s="2">
        <v>2.1240000000000001</v>
      </c>
    </row>
    <row r="218" spans="1:6" x14ac:dyDescent="0.25">
      <c r="A218" s="1">
        <v>216</v>
      </c>
      <c r="B218" s="2">
        <v>81.215000000000003</v>
      </c>
      <c r="C218" s="2">
        <v>94.918999999999997</v>
      </c>
      <c r="D218" s="2">
        <v>176.15199999999999</v>
      </c>
      <c r="E218" s="2">
        <v>2.7440000000000002</v>
      </c>
      <c r="F218" s="2">
        <v>2.4319999999999999</v>
      </c>
    </row>
    <row r="219" spans="1:6" x14ac:dyDescent="0.25">
      <c r="A219" s="1">
        <v>217</v>
      </c>
      <c r="B219" s="2">
        <v>81.162000000000006</v>
      </c>
      <c r="C219" s="2">
        <v>94.843000000000004</v>
      </c>
      <c r="D219" s="2">
        <v>175.89400000000001</v>
      </c>
      <c r="E219" s="2">
        <v>2.2879999999999998</v>
      </c>
      <c r="F219" s="2">
        <v>2.101</v>
      </c>
    </row>
    <row r="220" spans="1:6" x14ac:dyDescent="0.25">
      <c r="A220" s="1">
        <v>218</v>
      </c>
      <c r="B220" s="2">
        <v>81.141000000000005</v>
      </c>
      <c r="C220" s="2">
        <v>95.01</v>
      </c>
      <c r="D220" s="2">
        <v>176.13900000000001</v>
      </c>
      <c r="E220" s="2">
        <v>2.2879999999999998</v>
      </c>
      <c r="F220" s="2">
        <v>2.056</v>
      </c>
    </row>
    <row r="221" spans="1:6" x14ac:dyDescent="0.25">
      <c r="A221" s="1">
        <v>219</v>
      </c>
      <c r="B221" s="2">
        <v>81.528999999999996</v>
      </c>
      <c r="C221" s="2">
        <v>94.625</v>
      </c>
      <c r="D221" s="2">
        <v>176.19</v>
      </c>
      <c r="E221" s="2">
        <v>2.2799999999999998</v>
      </c>
      <c r="F221" s="2">
        <v>2.5409999999999999</v>
      </c>
    </row>
    <row r="222" spans="1:6" x14ac:dyDescent="0.25">
      <c r="A222" s="1">
        <v>220</v>
      </c>
      <c r="B222" s="2">
        <v>81.376999999999995</v>
      </c>
      <c r="C222" s="2">
        <v>94.986999999999995</v>
      </c>
      <c r="D222" s="2">
        <v>176.292</v>
      </c>
      <c r="E222" s="2">
        <v>2.278</v>
      </c>
      <c r="F222" s="2">
        <v>2.15</v>
      </c>
    </row>
    <row r="223" spans="1:6" x14ac:dyDescent="0.25">
      <c r="A223" s="1">
        <v>221</v>
      </c>
      <c r="B223" s="2">
        <v>81.131</v>
      </c>
      <c r="C223" s="2">
        <v>94.23</v>
      </c>
      <c r="D223" s="2">
        <v>175.374</v>
      </c>
      <c r="E223" s="2">
        <v>2.036</v>
      </c>
      <c r="F223" s="2">
        <v>2.4980000000000002</v>
      </c>
    </row>
    <row r="224" spans="1:6" x14ac:dyDescent="0.25">
      <c r="A224" s="1">
        <v>222</v>
      </c>
      <c r="B224" s="2">
        <v>81.367000000000004</v>
      </c>
      <c r="C224" s="2">
        <v>94.634</v>
      </c>
      <c r="D224" s="2">
        <v>176.095</v>
      </c>
      <c r="E224" s="2">
        <v>2.0720000000000001</v>
      </c>
      <c r="F224" s="2">
        <v>1.83</v>
      </c>
    </row>
    <row r="225" spans="1:6" x14ac:dyDescent="0.25">
      <c r="A225" s="1">
        <v>223</v>
      </c>
      <c r="B225" s="2">
        <v>81.647999999999996</v>
      </c>
      <c r="C225" s="2">
        <v>94.552999999999997</v>
      </c>
      <c r="D225" s="2">
        <v>176.291</v>
      </c>
      <c r="E225" s="2">
        <v>2.0579999999999998</v>
      </c>
      <c r="F225" s="2">
        <v>2.1890000000000001</v>
      </c>
    </row>
    <row r="226" spans="1:6" x14ac:dyDescent="0.25">
      <c r="A226" s="1">
        <v>224</v>
      </c>
      <c r="B226" s="2">
        <v>81.153999999999996</v>
      </c>
      <c r="C226" s="2">
        <v>94.962000000000003</v>
      </c>
      <c r="D226" s="2">
        <v>176.17599999999999</v>
      </c>
      <c r="E226" s="2">
        <v>1.9790000000000001</v>
      </c>
      <c r="F226" s="2">
        <v>1.6639999999999999</v>
      </c>
    </row>
    <row r="227" spans="1:6" x14ac:dyDescent="0.25">
      <c r="A227" s="1">
        <v>225</v>
      </c>
      <c r="B227" s="2">
        <v>81.352999999999994</v>
      </c>
      <c r="C227" s="2">
        <v>95.144000000000005</v>
      </c>
      <c r="D227" s="2">
        <v>176.49100000000001</v>
      </c>
      <c r="E227" s="2">
        <v>1.9</v>
      </c>
      <c r="F227" s="2">
        <v>1.6930000000000001</v>
      </c>
    </row>
    <row r="228" spans="1:6" x14ac:dyDescent="0.25">
      <c r="A228" s="1">
        <v>226</v>
      </c>
      <c r="B228" s="2">
        <v>80.825999999999993</v>
      </c>
      <c r="C228" s="2">
        <v>95.197999999999993</v>
      </c>
      <c r="D228" s="2">
        <v>176.00200000000001</v>
      </c>
      <c r="E228" s="2">
        <v>1.8819999999999999</v>
      </c>
      <c r="F228" s="2">
        <v>1.8120000000000001</v>
      </c>
    </row>
    <row r="229" spans="1:6" x14ac:dyDescent="0.25">
      <c r="A229" s="1">
        <v>227</v>
      </c>
      <c r="B229" s="2">
        <v>81.097999999999999</v>
      </c>
      <c r="C229" s="2">
        <v>94.959000000000003</v>
      </c>
      <c r="D229" s="2">
        <v>176.114</v>
      </c>
      <c r="E229" s="2">
        <v>2.028</v>
      </c>
      <c r="F229" s="2">
        <v>1.9970000000000001</v>
      </c>
    </row>
    <row r="230" spans="1:6" x14ac:dyDescent="0.25">
      <c r="A230" s="1">
        <v>228</v>
      </c>
      <c r="B230" s="2">
        <v>81.373999999999995</v>
      </c>
      <c r="C230" s="2">
        <v>94.643000000000001</v>
      </c>
      <c r="D230" s="2">
        <v>175.999</v>
      </c>
      <c r="E230" s="2">
        <v>1.708</v>
      </c>
      <c r="F230" s="2">
        <v>1.829</v>
      </c>
    </row>
    <row r="231" spans="1:6" x14ac:dyDescent="0.25">
      <c r="A231" s="1">
        <v>229</v>
      </c>
      <c r="B231" s="2">
        <v>81.521000000000001</v>
      </c>
      <c r="C231" s="2">
        <v>94.703999999999994</v>
      </c>
      <c r="D231" s="2">
        <v>176.22399999999999</v>
      </c>
      <c r="E231" s="2">
        <v>2.4750000000000001</v>
      </c>
      <c r="F231" s="2">
        <v>1.851</v>
      </c>
    </row>
    <row r="232" spans="1:6" x14ac:dyDescent="0.25">
      <c r="A232" s="1">
        <v>230</v>
      </c>
      <c r="B232" s="2">
        <v>81.239000000000004</v>
      </c>
      <c r="C232" s="2">
        <v>94.971000000000004</v>
      </c>
      <c r="D232" s="2">
        <v>176.209</v>
      </c>
      <c r="E232" s="2">
        <v>1.9350000000000001</v>
      </c>
      <c r="F232" s="2">
        <v>1.8480000000000001</v>
      </c>
    </row>
    <row r="233" spans="1:6" x14ac:dyDescent="0.25">
      <c r="A233" s="1">
        <v>231</v>
      </c>
      <c r="B233" s="2">
        <v>81.465000000000003</v>
      </c>
      <c r="C233" s="2">
        <v>94.528999999999996</v>
      </c>
      <c r="D233" s="2">
        <v>175.98400000000001</v>
      </c>
      <c r="E233" s="2">
        <v>2.3519999999999999</v>
      </c>
      <c r="F233" s="2">
        <v>2.0310000000000001</v>
      </c>
    </row>
    <row r="234" spans="1:6" x14ac:dyDescent="0.25">
      <c r="A234" s="1">
        <v>232</v>
      </c>
      <c r="B234" s="2">
        <v>81.569000000000003</v>
      </c>
      <c r="C234" s="2">
        <v>94.254000000000005</v>
      </c>
      <c r="D234" s="2">
        <v>175.839</v>
      </c>
      <c r="E234" s="2">
        <v>1.6419999999999999</v>
      </c>
      <c r="F234" s="2">
        <v>1.651</v>
      </c>
    </row>
    <row r="235" spans="1:6" x14ac:dyDescent="0.25">
      <c r="A235" s="1">
        <v>233</v>
      </c>
      <c r="B235" s="2">
        <v>82.043999999999997</v>
      </c>
      <c r="C235" s="2">
        <v>94.224000000000004</v>
      </c>
      <c r="D235" s="2">
        <v>176.285</v>
      </c>
      <c r="E235" s="2">
        <v>2.0379999999999998</v>
      </c>
      <c r="F235" s="2">
        <v>1.887</v>
      </c>
    </row>
    <row r="236" spans="1:6" x14ac:dyDescent="0.25">
      <c r="A236" s="1">
        <v>234</v>
      </c>
      <c r="B236" s="2">
        <v>81.301000000000002</v>
      </c>
      <c r="C236" s="2">
        <v>94.646000000000001</v>
      </c>
      <c r="D236" s="2">
        <v>175.905</v>
      </c>
      <c r="E236" s="2">
        <v>1.7470000000000001</v>
      </c>
      <c r="F236" s="2">
        <v>1.5620000000000001</v>
      </c>
    </row>
    <row r="237" spans="1:6" x14ac:dyDescent="0.25">
      <c r="A237" s="1">
        <v>235</v>
      </c>
      <c r="B237" s="2">
        <v>81.146000000000001</v>
      </c>
      <c r="C237" s="2">
        <v>94.962999999999994</v>
      </c>
      <c r="D237" s="2">
        <v>176.047</v>
      </c>
      <c r="E237" s="2">
        <v>1.829</v>
      </c>
      <c r="F237" s="2">
        <v>2.3010000000000002</v>
      </c>
    </row>
    <row r="238" spans="1:6" x14ac:dyDescent="0.25">
      <c r="A238" s="1">
        <v>236</v>
      </c>
      <c r="B238" s="2">
        <v>81.278000000000006</v>
      </c>
      <c r="C238" s="2">
        <v>94.600999999999999</v>
      </c>
      <c r="D238" s="2">
        <v>175.93700000000001</v>
      </c>
      <c r="E238" s="2">
        <v>2.0009999999999999</v>
      </c>
      <c r="F238" s="2">
        <v>1.788</v>
      </c>
    </row>
    <row r="239" spans="1:6" x14ac:dyDescent="0.25">
      <c r="A239" s="1">
        <v>237</v>
      </c>
      <c r="B239" s="2">
        <v>81.759</v>
      </c>
      <c r="C239" s="2">
        <v>94.245999999999995</v>
      </c>
      <c r="D239" s="2">
        <v>175.95599999999999</v>
      </c>
      <c r="E239" s="2">
        <v>1.768</v>
      </c>
      <c r="F239" s="2">
        <v>2.0449999999999999</v>
      </c>
    </row>
    <row r="240" spans="1:6" x14ac:dyDescent="0.25">
      <c r="A240" s="1">
        <v>238</v>
      </c>
      <c r="B240" s="2">
        <v>81.179000000000002</v>
      </c>
      <c r="C240" s="2">
        <v>94.787000000000006</v>
      </c>
      <c r="D240" s="2">
        <v>175.93799999999999</v>
      </c>
      <c r="E240" s="2">
        <v>1.871</v>
      </c>
      <c r="F240" s="2">
        <v>1.841</v>
      </c>
    </row>
    <row r="241" spans="1:6" x14ac:dyDescent="0.25">
      <c r="A241" s="1">
        <v>239</v>
      </c>
      <c r="B241" s="2">
        <v>81.004000000000005</v>
      </c>
      <c r="C241" s="2">
        <v>94.91</v>
      </c>
      <c r="D241" s="2">
        <v>175.92</v>
      </c>
      <c r="E241" s="2">
        <v>1.8560000000000001</v>
      </c>
      <c r="F241" s="2">
        <v>2.2509999999999999</v>
      </c>
    </row>
    <row r="242" spans="1:6" x14ac:dyDescent="0.25">
      <c r="A242" s="1">
        <v>240</v>
      </c>
      <c r="B242" s="2">
        <v>80.873999999999995</v>
      </c>
      <c r="C242" s="2">
        <v>94.774000000000001</v>
      </c>
      <c r="D242" s="2">
        <v>175.65299999999999</v>
      </c>
      <c r="E242" s="2">
        <v>1.6020000000000001</v>
      </c>
      <c r="F242" s="2">
        <v>2.0150000000000001</v>
      </c>
    </row>
    <row r="243" spans="1:6" x14ac:dyDescent="0.25">
      <c r="A243" s="1">
        <v>241</v>
      </c>
      <c r="B243" s="2">
        <v>81.679000000000002</v>
      </c>
      <c r="C243" s="2">
        <v>94.382000000000005</v>
      </c>
      <c r="D243" s="2">
        <v>176.09299999999999</v>
      </c>
      <c r="E243" s="2">
        <v>2.2429999999999999</v>
      </c>
      <c r="F243" s="2">
        <v>2.1139999999999999</v>
      </c>
    </row>
    <row r="244" spans="1:6" x14ac:dyDescent="0.25">
      <c r="A244" s="1">
        <v>242</v>
      </c>
      <c r="B244" s="2">
        <v>81.453000000000003</v>
      </c>
      <c r="C244" s="2">
        <v>94.356999999999999</v>
      </c>
      <c r="D244" s="2">
        <v>175.846</v>
      </c>
      <c r="E244" s="2">
        <v>2.0030000000000001</v>
      </c>
      <c r="F244" s="2">
        <v>1.7909999999999999</v>
      </c>
    </row>
    <row r="245" spans="1:6" x14ac:dyDescent="0.25">
      <c r="A245" s="1">
        <v>243</v>
      </c>
      <c r="B245" s="2">
        <v>80.965999999999994</v>
      </c>
      <c r="C245" s="2">
        <v>94.597999999999999</v>
      </c>
      <c r="D245" s="2">
        <v>175.56100000000001</v>
      </c>
      <c r="E245" s="2">
        <v>2.113</v>
      </c>
      <c r="F245" s="2">
        <v>2.0129999999999999</v>
      </c>
    </row>
    <row r="246" spans="1:6" x14ac:dyDescent="0.25">
      <c r="A246" s="1">
        <v>244</v>
      </c>
      <c r="B246" s="2">
        <v>80.841999999999999</v>
      </c>
      <c r="C246" s="2">
        <v>95.108999999999995</v>
      </c>
      <c r="D246" s="2">
        <v>175.869</v>
      </c>
      <c r="E246" s="2">
        <v>2.1629999999999998</v>
      </c>
      <c r="F246" s="2">
        <v>2.093</v>
      </c>
    </row>
    <row r="247" spans="1:6" x14ac:dyDescent="0.25">
      <c r="A247" s="1">
        <v>245</v>
      </c>
      <c r="B247" s="2">
        <v>81.472999999999999</v>
      </c>
      <c r="C247" s="2">
        <v>94.393000000000001</v>
      </c>
      <c r="D247" s="2">
        <v>175.876</v>
      </c>
      <c r="E247" s="2">
        <v>1.9139999999999999</v>
      </c>
      <c r="F247" s="2">
        <v>2.282</v>
      </c>
    </row>
    <row r="248" spans="1:6" x14ac:dyDescent="0.25">
      <c r="A248" s="1">
        <v>246</v>
      </c>
      <c r="B248" s="2">
        <v>81.272999999999996</v>
      </c>
      <c r="C248" s="2">
        <v>94.558999999999997</v>
      </c>
      <c r="D248" s="2">
        <v>175.90799999999999</v>
      </c>
      <c r="E248" s="2">
        <v>1.8320000000000001</v>
      </c>
      <c r="F248" s="2">
        <v>1.8049999999999999</v>
      </c>
    </row>
    <row r="249" spans="1:6" x14ac:dyDescent="0.25">
      <c r="A249" s="1">
        <v>247</v>
      </c>
      <c r="B249" s="2">
        <v>81.23</v>
      </c>
      <c r="C249" s="2">
        <v>94.460999999999999</v>
      </c>
      <c r="D249" s="2">
        <v>175.74</v>
      </c>
      <c r="E249" s="2">
        <v>1.7130000000000001</v>
      </c>
      <c r="F249" s="2">
        <v>1.9630000000000001</v>
      </c>
    </row>
    <row r="250" spans="1:6" x14ac:dyDescent="0.25">
      <c r="A250" s="1">
        <v>248</v>
      </c>
      <c r="B250" s="2">
        <v>81.08</v>
      </c>
      <c r="C250" s="2">
        <v>94.899000000000001</v>
      </c>
      <c r="D250" s="2">
        <v>175.95099999999999</v>
      </c>
      <c r="E250" s="2">
        <v>1.702</v>
      </c>
      <c r="F250" s="2">
        <v>2.12</v>
      </c>
    </row>
    <row r="251" spans="1:6" x14ac:dyDescent="0.25">
      <c r="A251" s="1">
        <v>249</v>
      </c>
      <c r="B251" s="2">
        <v>81.341999999999999</v>
      </c>
      <c r="C251" s="2">
        <v>94.454999999999998</v>
      </c>
      <c r="D251" s="2">
        <v>175.809</v>
      </c>
      <c r="E251" s="2">
        <v>1.968</v>
      </c>
      <c r="F251" s="2">
        <v>2.0030000000000001</v>
      </c>
    </row>
    <row r="252" spans="1:6" x14ac:dyDescent="0.25">
      <c r="A252" s="1">
        <v>250</v>
      </c>
      <c r="B252" s="2">
        <v>81.489999999999995</v>
      </c>
      <c r="C252" s="2">
        <v>94.566000000000003</v>
      </c>
      <c r="D252" s="2">
        <v>176.05799999999999</v>
      </c>
      <c r="E252" s="2">
        <v>1.9990000000000001</v>
      </c>
      <c r="F252" s="2">
        <v>1.724</v>
      </c>
    </row>
    <row r="253" spans="1:6" x14ac:dyDescent="0.25">
      <c r="A253" s="1">
        <v>251</v>
      </c>
      <c r="B253" s="2">
        <v>81.311999999999998</v>
      </c>
      <c r="C253" s="2">
        <v>94.906000000000006</v>
      </c>
      <c r="D253" s="2">
        <v>176.221</v>
      </c>
      <c r="E253" s="2">
        <v>1.99</v>
      </c>
      <c r="F253" s="2">
        <v>1.9330000000000001</v>
      </c>
    </row>
    <row r="254" spans="1:6" x14ac:dyDescent="0.25">
      <c r="A254" s="1">
        <v>252</v>
      </c>
      <c r="B254" s="2">
        <v>80.911000000000001</v>
      </c>
      <c r="C254" s="2">
        <v>95.013999999999996</v>
      </c>
      <c r="D254" s="2">
        <v>175.96799999999999</v>
      </c>
      <c r="E254" s="2">
        <v>1.6739999999999999</v>
      </c>
      <c r="F254" s="2">
        <v>2.16</v>
      </c>
    </row>
    <row r="255" spans="1:6" x14ac:dyDescent="0.25">
      <c r="A255" s="1">
        <v>253</v>
      </c>
      <c r="B255" s="2">
        <v>81.39</v>
      </c>
      <c r="C255" s="2">
        <v>94.703999999999994</v>
      </c>
      <c r="D255" s="2">
        <v>176.12899999999999</v>
      </c>
      <c r="E255" s="2">
        <v>2.0270000000000001</v>
      </c>
      <c r="F255" s="2">
        <v>2.0270000000000001</v>
      </c>
    </row>
    <row r="256" spans="1:6" x14ac:dyDescent="0.25">
      <c r="A256" s="1">
        <v>254</v>
      </c>
      <c r="B256" s="2">
        <v>81.135999999999996</v>
      </c>
      <c r="C256" s="2">
        <v>94.942999999999998</v>
      </c>
      <c r="D256" s="2">
        <v>176.06200000000001</v>
      </c>
      <c r="E256" s="2">
        <v>1.8089999999999999</v>
      </c>
      <c r="F256" s="2">
        <v>1.825</v>
      </c>
    </row>
    <row r="257" spans="1:6" x14ac:dyDescent="0.25">
      <c r="A257" s="1">
        <v>255</v>
      </c>
      <c r="B257" s="2">
        <v>81.224000000000004</v>
      </c>
      <c r="C257" s="2">
        <v>94.867999999999995</v>
      </c>
      <c r="D257" s="2">
        <v>176.12</v>
      </c>
      <c r="E257" s="2">
        <v>2.0750000000000002</v>
      </c>
      <c r="F257" s="2">
        <v>1.7549999999999999</v>
      </c>
    </row>
    <row r="258" spans="1:6" x14ac:dyDescent="0.25">
      <c r="A258" s="1">
        <v>256</v>
      </c>
      <c r="B258" s="2">
        <v>81.228999999999999</v>
      </c>
      <c r="C258" s="2">
        <v>94.796000000000006</v>
      </c>
      <c r="D258" s="2">
        <v>176.05799999999999</v>
      </c>
      <c r="E258" s="2">
        <v>1.974</v>
      </c>
      <c r="F258" s="2">
        <v>1.6870000000000001</v>
      </c>
    </row>
    <row r="259" spans="1:6" x14ac:dyDescent="0.25">
      <c r="A259" s="1">
        <v>257</v>
      </c>
      <c r="B259" s="2">
        <v>80.736999999999995</v>
      </c>
      <c r="C259" s="2">
        <v>95.031000000000006</v>
      </c>
      <c r="D259" s="2">
        <v>175.79</v>
      </c>
      <c r="E259" s="2">
        <v>1.917</v>
      </c>
      <c r="F259" s="2">
        <v>1.6459999999999999</v>
      </c>
    </row>
    <row r="260" spans="1:6" x14ac:dyDescent="0.25">
      <c r="A260" s="1">
        <v>258</v>
      </c>
      <c r="B260" s="2">
        <v>81.492999999999995</v>
      </c>
      <c r="C260" s="2">
        <v>94.537000000000006</v>
      </c>
      <c r="D260" s="2">
        <v>176.036</v>
      </c>
      <c r="E260" s="2">
        <v>1.9159999999999999</v>
      </c>
      <c r="F260" s="2">
        <v>1.613</v>
      </c>
    </row>
    <row r="261" spans="1:6" x14ac:dyDescent="0.25">
      <c r="A261" s="1">
        <v>259</v>
      </c>
      <c r="B261" s="2">
        <v>81.119</v>
      </c>
      <c r="C261" s="2">
        <v>94.591999999999999</v>
      </c>
      <c r="D261" s="2">
        <v>175.63499999999999</v>
      </c>
      <c r="E261" s="2">
        <v>2.2130000000000001</v>
      </c>
      <c r="F261" s="2">
        <v>1.639</v>
      </c>
    </row>
    <row r="262" spans="1:6" x14ac:dyDescent="0.25">
      <c r="A262" s="1">
        <v>260</v>
      </c>
      <c r="B262" s="2">
        <v>81.004000000000005</v>
      </c>
      <c r="C262" s="2">
        <v>95.168000000000006</v>
      </c>
      <c r="D262" s="2">
        <v>176.226</v>
      </c>
      <c r="E262" s="2">
        <v>1.554</v>
      </c>
      <c r="F262" s="2">
        <v>1.6559999999999999</v>
      </c>
    </row>
    <row r="263" spans="1:6" x14ac:dyDescent="0.25">
      <c r="A263" s="1">
        <v>261</v>
      </c>
      <c r="B263" s="2">
        <v>81.319000000000003</v>
      </c>
      <c r="C263" s="2">
        <v>94.671999999999997</v>
      </c>
      <c r="D263" s="2">
        <v>176.047</v>
      </c>
      <c r="E263" s="2">
        <v>2.1749999999999998</v>
      </c>
      <c r="F263" s="2">
        <v>1.8</v>
      </c>
    </row>
    <row r="264" spans="1:6" x14ac:dyDescent="0.25">
      <c r="A264" s="1">
        <v>262</v>
      </c>
      <c r="B264" s="2">
        <v>81.040000000000006</v>
      </c>
      <c r="C264" s="2">
        <v>94.968999999999994</v>
      </c>
      <c r="D264" s="2">
        <v>176.03399999999999</v>
      </c>
      <c r="E264" s="2">
        <v>2.1070000000000002</v>
      </c>
      <c r="F264" s="2">
        <v>1.95</v>
      </c>
    </row>
    <row r="265" spans="1:6" x14ac:dyDescent="0.25">
      <c r="A265" s="1">
        <v>263</v>
      </c>
      <c r="B265" s="2">
        <v>80.929000000000002</v>
      </c>
      <c r="C265" s="2">
        <v>95.05</v>
      </c>
      <c r="D265" s="2">
        <v>175.95099999999999</v>
      </c>
      <c r="E265" s="2">
        <v>1.89</v>
      </c>
      <c r="F265" s="2">
        <v>1.762</v>
      </c>
    </row>
    <row r="266" spans="1:6" x14ac:dyDescent="0.25">
      <c r="A266" s="1">
        <v>264</v>
      </c>
      <c r="B266" s="2">
        <v>81.123000000000005</v>
      </c>
      <c r="C266" s="2">
        <v>94.98</v>
      </c>
      <c r="D266" s="2">
        <v>176.11199999999999</v>
      </c>
      <c r="E266" s="2">
        <v>1.673</v>
      </c>
      <c r="F266" s="2">
        <v>2.149</v>
      </c>
    </row>
    <row r="267" spans="1:6" x14ac:dyDescent="0.25">
      <c r="A267" s="1">
        <v>265</v>
      </c>
      <c r="B267" s="2">
        <v>80.938000000000002</v>
      </c>
      <c r="C267" s="2">
        <v>95.366</v>
      </c>
      <c r="D267" s="2">
        <v>176.316</v>
      </c>
      <c r="E267" s="2">
        <v>2.6579999999999999</v>
      </c>
      <c r="F267" s="2">
        <v>2.0070000000000001</v>
      </c>
    </row>
    <row r="268" spans="1:6" x14ac:dyDescent="0.25">
      <c r="A268" s="1">
        <v>266</v>
      </c>
      <c r="B268" s="2">
        <v>81.224999999999994</v>
      </c>
      <c r="C268" s="2">
        <v>94.510999999999996</v>
      </c>
      <c r="D268" s="2">
        <v>175.773</v>
      </c>
      <c r="E268" s="2">
        <v>2.262</v>
      </c>
      <c r="F268" s="2">
        <v>2.0830000000000002</v>
      </c>
    </row>
    <row r="269" spans="1:6" x14ac:dyDescent="0.25">
      <c r="A269" s="1">
        <v>267</v>
      </c>
      <c r="B269" s="2">
        <v>81.146000000000001</v>
      </c>
      <c r="C269" s="2">
        <v>94.911000000000001</v>
      </c>
      <c r="D269" s="2">
        <v>176.04499999999999</v>
      </c>
      <c r="E269" s="2">
        <v>2.306</v>
      </c>
      <c r="F269" s="2">
        <v>1.6930000000000001</v>
      </c>
    </row>
    <row r="270" spans="1:6" x14ac:dyDescent="0.25">
      <c r="A270" s="1">
        <v>268</v>
      </c>
      <c r="B270" s="2">
        <v>80.778000000000006</v>
      </c>
      <c r="C270" s="2">
        <v>95.182000000000002</v>
      </c>
      <c r="D270" s="2">
        <v>176.00700000000001</v>
      </c>
      <c r="E270" s="2">
        <v>2.3540000000000001</v>
      </c>
      <c r="F270" s="2">
        <v>2.0289999999999999</v>
      </c>
    </row>
    <row r="271" spans="1:6" x14ac:dyDescent="0.25">
      <c r="A271" s="1">
        <v>269</v>
      </c>
      <c r="B271" s="2">
        <v>81.134</v>
      </c>
      <c r="C271" s="2">
        <v>94.664000000000001</v>
      </c>
      <c r="D271" s="2">
        <v>175.82400000000001</v>
      </c>
      <c r="E271" s="2">
        <v>1.988</v>
      </c>
      <c r="F271" s="2">
        <v>1.827</v>
      </c>
    </row>
    <row r="272" spans="1:6" x14ac:dyDescent="0.25">
      <c r="A272" s="1">
        <v>270</v>
      </c>
      <c r="B272" s="2">
        <v>81.033000000000001</v>
      </c>
      <c r="C272" s="2">
        <v>94.790999999999997</v>
      </c>
      <c r="D272" s="2">
        <v>175.89699999999999</v>
      </c>
      <c r="E272" s="2">
        <v>1.7230000000000001</v>
      </c>
      <c r="F272" s="2">
        <v>1.954</v>
      </c>
    </row>
    <row r="273" spans="1:6" x14ac:dyDescent="0.25">
      <c r="A273" s="1">
        <v>271</v>
      </c>
      <c r="B273" s="2">
        <v>80.936000000000007</v>
      </c>
      <c r="C273" s="2">
        <v>94.784000000000006</v>
      </c>
      <c r="D273" s="2">
        <v>175.703</v>
      </c>
      <c r="E273" s="2">
        <v>1.7829999999999999</v>
      </c>
      <c r="F273" s="2">
        <v>2.06</v>
      </c>
    </row>
    <row r="274" spans="1:6" x14ac:dyDescent="0.25">
      <c r="A274" s="1">
        <v>272</v>
      </c>
      <c r="B274" s="2">
        <v>81.272999999999996</v>
      </c>
      <c r="C274" s="2">
        <v>94.703999999999994</v>
      </c>
      <c r="D274" s="2">
        <v>176.024</v>
      </c>
      <c r="E274" s="2">
        <v>2.2080000000000002</v>
      </c>
      <c r="F274" s="2">
        <v>1.7649999999999999</v>
      </c>
    </row>
    <row r="275" spans="1:6" x14ac:dyDescent="0.25">
      <c r="A275" s="1">
        <v>273</v>
      </c>
      <c r="B275" s="2">
        <v>81.224999999999994</v>
      </c>
      <c r="C275" s="2">
        <v>94.554000000000002</v>
      </c>
      <c r="D275" s="2">
        <v>175.82300000000001</v>
      </c>
      <c r="E275" s="2">
        <v>1.831</v>
      </c>
      <c r="F275" s="2">
        <v>1.5549999999999999</v>
      </c>
    </row>
    <row r="276" spans="1:6" x14ac:dyDescent="0.25">
      <c r="A276" s="1">
        <v>274</v>
      </c>
      <c r="B276" s="2">
        <v>81.906999999999996</v>
      </c>
      <c r="C276" s="2">
        <v>94.497</v>
      </c>
      <c r="D276" s="2">
        <v>176.43199999999999</v>
      </c>
      <c r="E276" s="2">
        <v>1.86</v>
      </c>
      <c r="F276" s="2">
        <v>1.665</v>
      </c>
    </row>
    <row r="277" spans="1:6" x14ac:dyDescent="0.25">
      <c r="A277" s="1">
        <v>275</v>
      </c>
      <c r="B277" s="2">
        <v>81.305999999999997</v>
      </c>
      <c r="C277" s="2">
        <v>94.465999999999994</v>
      </c>
      <c r="D277" s="2">
        <v>175.88200000000001</v>
      </c>
      <c r="E277" s="2">
        <v>2.0739999999999998</v>
      </c>
      <c r="F277" s="2">
        <v>1.8520000000000001</v>
      </c>
    </row>
    <row r="278" spans="1:6" x14ac:dyDescent="0.25">
      <c r="A278" s="1">
        <v>276</v>
      </c>
      <c r="B278" s="2">
        <v>81.230999999999995</v>
      </c>
      <c r="C278" s="2">
        <v>95.260999999999996</v>
      </c>
      <c r="D278" s="2">
        <v>176.49299999999999</v>
      </c>
      <c r="E278" s="2">
        <v>1.752</v>
      </c>
      <c r="F278" s="2">
        <v>1.544</v>
      </c>
    </row>
    <row r="279" spans="1:6" x14ac:dyDescent="0.25">
      <c r="A279" s="1">
        <v>277</v>
      </c>
      <c r="B279" s="2">
        <v>80.808999999999997</v>
      </c>
      <c r="C279" s="2">
        <v>95.078000000000003</v>
      </c>
      <c r="D279" s="2">
        <v>175.911</v>
      </c>
      <c r="E279" s="2">
        <v>2.1360000000000001</v>
      </c>
      <c r="F279" s="2">
        <v>2.202</v>
      </c>
    </row>
    <row r="280" spans="1:6" x14ac:dyDescent="0.25">
      <c r="A280" s="1">
        <v>278</v>
      </c>
      <c r="B280" s="2">
        <v>80.912999999999997</v>
      </c>
      <c r="C280" s="2">
        <v>95.534000000000006</v>
      </c>
      <c r="D280" s="2">
        <v>176.471</v>
      </c>
      <c r="E280" s="2">
        <v>2.1339999999999999</v>
      </c>
      <c r="F280" s="2">
        <v>1.5660000000000001</v>
      </c>
    </row>
    <row r="281" spans="1:6" x14ac:dyDescent="0.25">
      <c r="A281" s="1">
        <v>279</v>
      </c>
      <c r="B281" s="2">
        <v>81.247</v>
      </c>
      <c r="C281" s="2">
        <v>94.953999999999994</v>
      </c>
      <c r="D281" s="2">
        <v>176.29900000000001</v>
      </c>
      <c r="E281" s="2">
        <v>2.169</v>
      </c>
      <c r="F281" s="2">
        <v>2.0129999999999999</v>
      </c>
    </row>
    <row r="282" spans="1:6" x14ac:dyDescent="0.25">
      <c r="A282" s="1">
        <v>280</v>
      </c>
      <c r="B282" s="2">
        <v>80.962000000000003</v>
      </c>
      <c r="C282" s="2">
        <v>95.253</v>
      </c>
      <c r="D282" s="2">
        <v>176.20500000000001</v>
      </c>
      <c r="E282" s="2">
        <v>2.149</v>
      </c>
      <c r="F282" s="2">
        <v>2.1040000000000001</v>
      </c>
    </row>
    <row r="283" spans="1:6" x14ac:dyDescent="0.25">
      <c r="A283" s="1">
        <v>281</v>
      </c>
      <c r="B283" s="2">
        <v>81.018000000000001</v>
      </c>
      <c r="C283" s="2">
        <v>94.978999999999999</v>
      </c>
      <c r="D283" s="2">
        <v>175.93</v>
      </c>
      <c r="E283" s="2">
        <v>1.6759999999999999</v>
      </c>
      <c r="F283" s="2">
        <v>2.069</v>
      </c>
    </row>
    <row r="284" spans="1:6" x14ac:dyDescent="0.25">
      <c r="A284" s="1">
        <v>282</v>
      </c>
      <c r="B284" s="2">
        <v>81.001000000000005</v>
      </c>
      <c r="C284" s="2">
        <v>95.03</v>
      </c>
      <c r="D284" s="2">
        <v>175.99700000000001</v>
      </c>
      <c r="E284" s="2">
        <v>1.9930000000000001</v>
      </c>
      <c r="F284" s="2">
        <v>1.786</v>
      </c>
    </row>
    <row r="285" spans="1:6" x14ac:dyDescent="0.25">
      <c r="A285" s="1">
        <v>283</v>
      </c>
      <c r="B285" s="2">
        <v>81.096999999999994</v>
      </c>
      <c r="C285" s="2">
        <v>95.144999999999996</v>
      </c>
      <c r="D285" s="2">
        <v>176.22399999999999</v>
      </c>
      <c r="E285" s="2">
        <v>1.5980000000000001</v>
      </c>
      <c r="F285" s="2">
        <v>1.9570000000000001</v>
      </c>
    </row>
    <row r="286" spans="1:6" x14ac:dyDescent="0.25">
      <c r="A286" s="1">
        <v>284</v>
      </c>
      <c r="B286" s="2">
        <v>80.822999999999993</v>
      </c>
      <c r="C286" s="2">
        <v>95.051000000000002</v>
      </c>
      <c r="D286" s="2">
        <v>175.84899999999999</v>
      </c>
      <c r="E286" s="2">
        <v>1.601</v>
      </c>
      <c r="F286" s="2">
        <v>1.97</v>
      </c>
    </row>
    <row r="287" spans="1:6" x14ac:dyDescent="0.25">
      <c r="A287" s="1">
        <v>285</v>
      </c>
      <c r="B287" s="2">
        <v>80.926000000000002</v>
      </c>
      <c r="C287" s="2">
        <v>95</v>
      </c>
      <c r="D287" s="2">
        <v>175.91499999999999</v>
      </c>
      <c r="E287" s="2">
        <v>1.9219999999999999</v>
      </c>
      <c r="F287" s="2">
        <v>2.2530000000000001</v>
      </c>
    </row>
    <row r="288" spans="1:6" x14ac:dyDescent="0.25">
      <c r="A288" s="1">
        <v>286</v>
      </c>
      <c r="B288" s="2">
        <v>80.864999999999995</v>
      </c>
      <c r="C288" s="2">
        <v>95.009</v>
      </c>
      <c r="D288" s="2">
        <v>175.92099999999999</v>
      </c>
      <c r="E288" s="2">
        <v>1.8839999999999999</v>
      </c>
      <c r="F288" s="2">
        <v>1.5649999999999999</v>
      </c>
    </row>
    <row r="289" spans="1:6" x14ac:dyDescent="0.25">
      <c r="A289" s="1">
        <v>287</v>
      </c>
      <c r="B289" s="2">
        <v>80.935000000000002</v>
      </c>
      <c r="C289" s="2">
        <v>94.971999999999994</v>
      </c>
      <c r="D289" s="2">
        <v>175.92500000000001</v>
      </c>
      <c r="E289" s="2">
        <v>1.4630000000000001</v>
      </c>
      <c r="F289" s="2">
        <v>1.82</v>
      </c>
    </row>
    <row r="290" spans="1:6" x14ac:dyDescent="0.25">
      <c r="A290" s="1">
        <v>288</v>
      </c>
      <c r="B290" s="2">
        <v>80.816000000000003</v>
      </c>
      <c r="C290" s="2">
        <v>95.087999999999994</v>
      </c>
      <c r="D290" s="2">
        <v>175.92400000000001</v>
      </c>
      <c r="E290" s="2">
        <v>2.157</v>
      </c>
      <c r="F290" s="2">
        <v>1.804</v>
      </c>
    </row>
    <row r="291" spans="1:6" x14ac:dyDescent="0.25">
      <c r="A291" s="1">
        <v>289</v>
      </c>
      <c r="B291" s="2">
        <v>81.096999999999994</v>
      </c>
      <c r="C291" s="2">
        <v>94.653000000000006</v>
      </c>
      <c r="D291" s="2">
        <v>175.71</v>
      </c>
      <c r="E291" s="2">
        <v>1.8380000000000001</v>
      </c>
      <c r="F291" s="2">
        <v>1.9650000000000001</v>
      </c>
    </row>
    <row r="292" spans="1:6" x14ac:dyDescent="0.25">
      <c r="A292" s="1">
        <v>290</v>
      </c>
      <c r="B292" s="2">
        <v>80.926000000000002</v>
      </c>
      <c r="C292" s="2">
        <v>94.936999999999998</v>
      </c>
      <c r="D292" s="2">
        <v>175.87700000000001</v>
      </c>
      <c r="E292" s="2">
        <v>2.2669999999999999</v>
      </c>
      <c r="F292" s="2">
        <v>1.77</v>
      </c>
    </row>
    <row r="293" spans="1:6" x14ac:dyDescent="0.25">
      <c r="A293" s="1">
        <v>291</v>
      </c>
      <c r="B293" s="2">
        <v>81.012</v>
      </c>
      <c r="C293" s="2">
        <v>94.923000000000002</v>
      </c>
      <c r="D293" s="2">
        <v>175.90199999999999</v>
      </c>
      <c r="E293" s="2">
        <v>1.766</v>
      </c>
      <c r="F293" s="2">
        <v>2.109</v>
      </c>
    </row>
    <row r="294" spans="1:6" x14ac:dyDescent="0.25">
      <c r="A294" s="1">
        <v>292</v>
      </c>
      <c r="B294" s="2">
        <v>81.201999999999998</v>
      </c>
      <c r="C294" s="2">
        <v>94.602999999999994</v>
      </c>
      <c r="D294" s="2">
        <v>175.88900000000001</v>
      </c>
      <c r="E294" s="2">
        <v>1.8839999999999999</v>
      </c>
      <c r="F294" s="2">
        <v>2.3439999999999999</v>
      </c>
    </row>
    <row r="295" spans="1:6" x14ac:dyDescent="0.25">
      <c r="A295" s="1">
        <v>293</v>
      </c>
      <c r="B295" s="2">
        <v>81.194999999999993</v>
      </c>
      <c r="C295" s="2">
        <v>94.698999999999998</v>
      </c>
      <c r="D295" s="2">
        <v>175.977</v>
      </c>
      <c r="E295" s="2">
        <v>2.3769999999999998</v>
      </c>
      <c r="F295" s="2">
        <v>1.954</v>
      </c>
    </row>
    <row r="296" spans="1:6" x14ac:dyDescent="0.25">
      <c r="A296" s="1">
        <v>294</v>
      </c>
      <c r="B296" s="2">
        <v>80.968999999999994</v>
      </c>
      <c r="C296" s="2">
        <v>95.070999999999998</v>
      </c>
      <c r="D296" s="2">
        <v>176.06399999999999</v>
      </c>
      <c r="E296" s="2">
        <v>1.591</v>
      </c>
      <c r="F296" s="2">
        <v>1.528</v>
      </c>
    </row>
    <row r="297" spans="1:6" x14ac:dyDescent="0.25">
      <c r="A297" s="1">
        <v>295</v>
      </c>
      <c r="B297" s="2">
        <v>81.17</v>
      </c>
      <c r="C297" s="2">
        <v>94.986000000000004</v>
      </c>
      <c r="D297" s="2">
        <v>176.09399999999999</v>
      </c>
      <c r="E297" s="2">
        <v>2.17</v>
      </c>
      <c r="F297" s="2">
        <v>2.2290000000000001</v>
      </c>
    </row>
    <row r="298" spans="1:6" x14ac:dyDescent="0.25">
      <c r="A298" s="1">
        <v>296</v>
      </c>
      <c r="B298" s="2">
        <v>80.947000000000003</v>
      </c>
      <c r="C298" s="2">
        <v>94.918000000000006</v>
      </c>
      <c r="D298" s="2">
        <v>175.815</v>
      </c>
      <c r="E298" s="2">
        <v>1.69</v>
      </c>
      <c r="F298" s="2">
        <v>1.869</v>
      </c>
    </row>
    <row r="299" spans="1:6" x14ac:dyDescent="0.25">
      <c r="A299" s="1">
        <v>297</v>
      </c>
      <c r="B299" s="2">
        <v>81.02</v>
      </c>
      <c r="C299" s="2">
        <v>94.872</v>
      </c>
      <c r="D299" s="2">
        <v>175.83699999999999</v>
      </c>
      <c r="E299" s="2">
        <v>1.4750000000000001</v>
      </c>
      <c r="F299" s="2">
        <v>1.4350000000000001</v>
      </c>
    </row>
    <row r="300" spans="1:6" x14ac:dyDescent="0.25">
      <c r="A300" s="1">
        <v>298</v>
      </c>
      <c r="B300" s="2">
        <v>81.328000000000003</v>
      </c>
      <c r="C300" s="2">
        <v>94.606999999999999</v>
      </c>
      <c r="D300" s="2">
        <v>175.94399999999999</v>
      </c>
      <c r="E300" s="2">
        <v>2.375</v>
      </c>
      <c r="F300" s="2">
        <v>1.9279999999999999</v>
      </c>
    </row>
    <row r="301" spans="1:6" x14ac:dyDescent="0.25">
      <c r="A301" s="1">
        <v>299</v>
      </c>
      <c r="B301" s="2">
        <v>80.894999999999996</v>
      </c>
      <c r="C301" s="2">
        <v>94.941000000000003</v>
      </c>
      <c r="D301" s="2">
        <v>175.846</v>
      </c>
      <c r="E301" s="2">
        <v>2.0680000000000001</v>
      </c>
      <c r="F301" s="2">
        <v>2.218</v>
      </c>
    </row>
    <row r="302" spans="1:6" x14ac:dyDescent="0.25">
      <c r="A302" s="1">
        <v>300</v>
      </c>
      <c r="B302" s="2">
        <v>81.069000000000003</v>
      </c>
      <c r="C302" s="2">
        <v>95.036000000000001</v>
      </c>
      <c r="D302" s="2">
        <v>176.131</v>
      </c>
      <c r="E302" s="2">
        <v>1.758</v>
      </c>
      <c r="F302" s="2">
        <v>2.4329999999999998</v>
      </c>
    </row>
    <row r="303" spans="1:6" x14ac:dyDescent="0.25">
      <c r="A303" s="1">
        <v>301</v>
      </c>
    </row>
    <row r="304" spans="1:6" x14ac:dyDescent="0.25">
      <c r="A304" s="1">
        <v>302</v>
      </c>
    </row>
    <row r="305" spans="1:1" x14ac:dyDescent="0.25">
      <c r="A305" s="1">
        <v>303</v>
      </c>
    </row>
    <row r="306" spans="1:1" x14ac:dyDescent="0.25">
      <c r="A306" s="1">
        <v>304</v>
      </c>
    </row>
    <row r="307" spans="1:1" x14ac:dyDescent="0.25">
      <c r="A307" s="1">
        <v>305</v>
      </c>
    </row>
    <row r="308" spans="1:1" x14ac:dyDescent="0.25">
      <c r="A308" s="1">
        <v>306</v>
      </c>
    </row>
    <row r="309" spans="1:1" x14ac:dyDescent="0.25">
      <c r="A309" s="1">
        <v>307</v>
      </c>
    </row>
    <row r="310" spans="1:1" x14ac:dyDescent="0.25">
      <c r="A310" s="1">
        <v>308</v>
      </c>
    </row>
    <row r="311" spans="1:1" x14ac:dyDescent="0.25">
      <c r="A311" s="1">
        <v>309</v>
      </c>
    </row>
    <row r="312" spans="1:1" x14ac:dyDescent="0.25">
      <c r="A312" s="1">
        <v>310</v>
      </c>
    </row>
    <row r="313" spans="1:1" x14ac:dyDescent="0.25">
      <c r="A313" s="1">
        <v>311</v>
      </c>
    </row>
    <row r="314" spans="1:1" x14ac:dyDescent="0.25">
      <c r="A314" s="1">
        <v>312</v>
      </c>
    </row>
    <row r="315" spans="1:1" x14ac:dyDescent="0.25">
      <c r="A315" s="1">
        <v>313</v>
      </c>
    </row>
    <row r="316" spans="1:1" x14ac:dyDescent="0.25">
      <c r="A316" s="1">
        <v>314</v>
      </c>
    </row>
    <row r="317" spans="1:1" x14ac:dyDescent="0.25">
      <c r="A317" s="1">
        <v>315</v>
      </c>
    </row>
    <row r="318" spans="1:1" x14ac:dyDescent="0.25">
      <c r="A318" s="1">
        <v>316</v>
      </c>
    </row>
    <row r="319" spans="1:1" x14ac:dyDescent="0.25">
      <c r="A319" s="1">
        <v>317</v>
      </c>
    </row>
    <row r="320" spans="1:1" x14ac:dyDescent="0.25">
      <c r="A320" s="1">
        <v>318</v>
      </c>
    </row>
    <row r="321" spans="1:1" x14ac:dyDescent="0.25">
      <c r="A321" s="1">
        <v>319</v>
      </c>
    </row>
    <row r="322" spans="1:1" x14ac:dyDescent="0.25">
      <c r="A322" s="1">
        <v>320</v>
      </c>
    </row>
    <row r="323" spans="1:1" x14ac:dyDescent="0.25">
      <c r="A323" s="1">
        <v>321</v>
      </c>
    </row>
    <row r="324" spans="1:1" x14ac:dyDescent="0.25">
      <c r="A324" s="1">
        <v>322</v>
      </c>
    </row>
    <row r="325" spans="1:1" x14ac:dyDescent="0.25">
      <c r="A325" s="1">
        <v>323</v>
      </c>
    </row>
    <row r="326" spans="1:1" x14ac:dyDescent="0.25">
      <c r="A326" s="1">
        <v>324</v>
      </c>
    </row>
    <row r="327" spans="1:1" x14ac:dyDescent="0.25">
      <c r="A327" s="1">
        <v>325</v>
      </c>
    </row>
  </sheetData>
  <mergeCells count="8">
    <mergeCell ref="AE5:AF5"/>
    <mergeCell ref="B1:F1"/>
    <mergeCell ref="H3:J3"/>
    <mergeCell ref="H4:J4"/>
    <mergeCell ref="H5:J5"/>
    <mergeCell ref="N3:P3"/>
    <mergeCell ref="N4:P4"/>
    <mergeCell ref="N5:P5"/>
  </mergeCells>
  <phoneticPr fontId="3"/>
  <dataValidations count="1">
    <dataValidation type="list" allowBlank="1" showInputMessage="1" showErrorMessage="1" sqref="B1:F1">
      <formula1>"MBM-1000,MBM-2000,MBM-3000"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T327"/>
  <sheetViews>
    <sheetView workbookViewId="0"/>
  </sheetViews>
  <sheetFormatPr defaultRowHeight="13" x14ac:dyDescent="0.2"/>
  <sheetData>
    <row r="3" spans="2:20" ht="14" x14ac:dyDescent="0.2">
      <c r="B3" s="2"/>
      <c r="C3" s="2"/>
      <c r="D3" s="2"/>
    </row>
    <row r="4" spans="2:20" ht="14" x14ac:dyDescent="0.2">
      <c r="B4" s="2"/>
      <c r="C4" s="2"/>
      <c r="D4" s="2"/>
    </row>
    <row r="5" spans="2:20" ht="14" x14ac:dyDescent="0.2">
      <c r="B5" s="2"/>
      <c r="C5" s="2"/>
      <c r="D5" s="2"/>
      <c r="E5" s="34"/>
      <c r="F5" s="11" t="str">
        <f>raw_data!$B$2</f>
        <v>CD</v>
      </c>
      <c r="H5" s="2"/>
      <c r="I5" s="2"/>
      <c r="J5" s="2"/>
      <c r="K5" s="2"/>
      <c r="L5" s="2"/>
      <c r="M5" s="2"/>
      <c r="N5" s="2"/>
      <c r="O5" s="2"/>
    </row>
    <row r="6" spans="2:20" ht="14" x14ac:dyDescent="0.2">
      <c r="B6" s="2"/>
      <c r="C6" s="80" t="s">
        <v>47</v>
      </c>
      <c r="D6" s="80"/>
      <c r="E6" s="80"/>
      <c r="F6" s="52">
        <f>J11-D11</f>
        <v>-14.258800000000008</v>
      </c>
      <c r="H6" s="2"/>
      <c r="I6" s="2"/>
      <c r="J6" s="2"/>
      <c r="K6" s="2"/>
      <c r="L6" s="2"/>
      <c r="M6" s="2"/>
      <c r="N6" s="2"/>
      <c r="O6" s="2"/>
    </row>
    <row r="7" spans="2:20" ht="14" x14ac:dyDescent="0.2">
      <c r="B7" s="2"/>
      <c r="C7" s="80" t="s">
        <v>34</v>
      </c>
      <c r="D7" s="80"/>
      <c r="E7" s="80"/>
      <c r="F7" s="52">
        <f>MAX(D11:O11)-MIN(D11:O11)</f>
        <v>66.679999999999993</v>
      </c>
      <c r="H7" s="2"/>
      <c r="I7" s="2"/>
      <c r="J7" s="2"/>
      <c r="K7" s="2"/>
      <c r="L7" s="2"/>
      <c r="M7" s="2"/>
      <c r="N7" s="2"/>
      <c r="O7" s="2"/>
    </row>
    <row r="8" spans="2:20" ht="14" x14ac:dyDescent="0.2">
      <c r="B8" s="2"/>
      <c r="C8" s="2"/>
      <c r="D8" s="2"/>
      <c r="H8" s="2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</row>
    <row r="9" spans="2:20" ht="14" x14ac:dyDescent="0.2">
      <c r="B9" s="2"/>
      <c r="C9" s="2"/>
      <c r="D9" s="2"/>
      <c r="E9" s="2"/>
      <c r="F9" s="2"/>
      <c r="G9" s="2"/>
      <c r="H9" s="2"/>
      <c r="I9" s="59"/>
      <c r="J9" s="59"/>
      <c r="K9" s="59"/>
      <c r="L9" s="59"/>
      <c r="M9" s="59"/>
      <c r="N9" s="59"/>
      <c r="O9" s="59"/>
      <c r="P9" s="57"/>
      <c r="Q9" s="57"/>
      <c r="R9" s="57"/>
      <c r="S9" s="57"/>
      <c r="T9" s="57"/>
    </row>
    <row r="10" spans="2:20" ht="14" x14ac:dyDescent="0.2">
      <c r="B10" s="2"/>
      <c r="C10" s="54" t="s">
        <v>48</v>
      </c>
      <c r="D10" s="33">
        <v>-90</v>
      </c>
      <c r="E10" s="33">
        <v>-75</v>
      </c>
      <c r="F10" s="33">
        <v>-60</v>
      </c>
      <c r="G10" s="33">
        <v>-45</v>
      </c>
      <c r="H10" s="33">
        <v>-30</v>
      </c>
      <c r="I10" s="33">
        <v>-15</v>
      </c>
      <c r="J10" s="33">
        <v>0</v>
      </c>
      <c r="K10" s="33">
        <v>15</v>
      </c>
      <c r="L10" s="33">
        <v>30</v>
      </c>
      <c r="M10" s="33">
        <v>45</v>
      </c>
      <c r="N10" s="33">
        <v>60</v>
      </c>
      <c r="O10" s="33">
        <v>75</v>
      </c>
    </row>
    <row r="11" spans="2:20" ht="14" x14ac:dyDescent="0.2">
      <c r="B11" s="2"/>
      <c r="C11" s="31" t="str">
        <f>raw_data!$B$2</f>
        <v>CD</v>
      </c>
      <c r="D11" s="32">
        <f>raw_data!I8</f>
        <v>143.108</v>
      </c>
      <c r="E11" s="32">
        <f>raw_data!J8</f>
        <v>129.36599999999999</v>
      </c>
      <c r="F11" s="32">
        <f>raw_data!K8</f>
        <v>188.07560000000001</v>
      </c>
      <c r="G11" s="32">
        <f>raw_data!L8</f>
        <v>136.92519999999999</v>
      </c>
      <c r="H11" s="32">
        <f>raw_data!M8</f>
        <v>166.9864</v>
      </c>
      <c r="I11" s="32">
        <f>raw_data!N8</f>
        <v>145.10119999999998</v>
      </c>
      <c r="J11" s="32">
        <f>raw_data!O8</f>
        <v>128.8492</v>
      </c>
      <c r="K11" s="32">
        <f>raw_data!P8</f>
        <v>130.90879999999999</v>
      </c>
      <c r="L11" s="32">
        <f>raw_data!Q8</f>
        <v>121.39560000000002</v>
      </c>
      <c r="M11" s="32">
        <f>raw_data!R8</f>
        <v>126.01600000000001</v>
      </c>
      <c r="N11" s="32">
        <f>raw_data!S8</f>
        <v>124.964</v>
      </c>
      <c r="O11" s="32">
        <f>raw_data!T8</f>
        <v>141.32759999999999</v>
      </c>
    </row>
    <row r="12" spans="2:20" ht="14" x14ac:dyDescent="0.2">
      <c r="B12" s="2"/>
      <c r="C12" s="30" t="str">
        <f>raw_data!$D$2</f>
        <v>LER</v>
      </c>
      <c r="D12" s="52">
        <f>raw_data!I9</f>
        <v>2.8982000000000001</v>
      </c>
      <c r="E12" s="32">
        <f>raw_data!J9</f>
        <v>2.7729999999999997</v>
      </c>
      <c r="F12" s="32">
        <f>raw_data!K9</f>
        <v>2.9638</v>
      </c>
      <c r="G12" s="32">
        <f>raw_data!L9</f>
        <v>4.5002000000000013</v>
      </c>
      <c r="H12" s="32">
        <f>raw_data!M9</f>
        <v>3.1032000000000002</v>
      </c>
      <c r="I12" s="32">
        <f>raw_data!N9</f>
        <v>7.4063999999999979</v>
      </c>
      <c r="J12" s="52">
        <f>raw_data!O9</f>
        <v>3.7716000000000003</v>
      </c>
      <c r="K12" s="32">
        <f>raw_data!P9</f>
        <v>3.7735999999999992</v>
      </c>
      <c r="L12" s="32">
        <f>raw_data!Q9</f>
        <v>6.4343999999999983</v>
      </c>
      <c r="M12" s="32">
        <f>raw_data!R9</f>
        <v>4.5049999999999999</v>
      </c>
      <c r="N12" s="32">
        <f>raw_data!S9</f>
        <v>4.9097999999999997</v>
      </c>
      <c r="O12" s="32">
        <f>raw_data!T9</f>
        <v>4.3584000000000005</v>
      </c>
    </row>
    <row r="13" spans="2:20" ht="14" x14ac:dyDescent="0.2">
      <c r="B13" s="2"/>
      <c r="C13" s="2"/>
      <c r="D13" s="53" t="s">
        <v>49</v>
      </c>
      <c r="E13" s="53"/>
      <c r="F13" s="53"/>
      <c r="G13" s="53"/>
      <c r="H13" s="53"/>
      <c r="I13" s="53"/>
      <c r="J13" s="53" t="s">
        <v>50</v>
      </c>
      <c r="K13" s="2"/>
      <c r="L13" s="2"/>
      <c r="M13" s="2"/>
      <c r="N13" s="2"/>
      <c r="O13" s="2"/>
      <c r="P13" s="2"/>
      <c r="Q13" s="2"/>
    </row>
    <row r="14" spans="2:20" ht="14" x14ac:dyDescent="0.2">
      <c r="B14" s="2"/>
      <c r="C14" s="2"/>
      <c r="D14" s="2"/>
    </row>
    <row r="15" spans="2:20" ht="14" x14ac:dyDescent="0.2">
      <c r="B15" s="2"/>
      <c r="C15" s="2"/>
      <c r="D15" s="2"/>
    </row>
    <row r="16" spans="2:20" ht="14" x14ac:dyDescent="0.2">
      <c r="B16" s="2"/>
      <c r="C16" s="2"/>
      <c r="D16" s="2"/>
    </row>
    <row r="17" spans="2:4" ht="14" x14ac:dyDescent="0.2">
      <c r="B17" s="2"/>
      <c r="C17" s="2"/>
      <c r="D17" s="2"/>
    </row>
    <row r="18" spans="2:4" ht="14" x14ac:dyDescent="0.2">
      <c r="B18" s="2"/>
      <c r="C18" s="2"/>
      <c r="D18" s="2"/>
    </row>
    <row r="19" spans="2:4" ht="14" x14ac:dyDescent="0.2">
      <c r="B19" s="2"/>
      <c r="C19" s="2"/>
      <c r="D19" s="2"/>
    </row>
    <row r="20" spans="2:4" ht="14" x14ac:dyDescent="0.2">
      <c r="B20" s="2"/>
      <c r="C20" s="2"/>
      <c r="D20" s="2"/>
    </row>
    <row r="21" spans="2:4" ht="14" x14ac:dyDescent="0.2">
      <c r="B21" s="2"/>
      <c r="C21" s="2"/>
      <c r="D21" s="2"/>
    </row>
    <row r="22" spans="2:4" ht="14" x14ac:dyDescent="0.2">
      <c r="B22" s="2"/>
      <c r="C22" s="2"/>
      <c r="D22" s="2"/>
    </row>
    <row r="23" spans="2:4" ht="14" x14ac:dyDescent="0.2">
      <c r="B23" s="2"/>
      <c r="C23" s="2"/>
      <c r="D23" s="2"/>
    </row>
    <row r="24" spans="2:4" ht="14" x14ac:dyDescent="0.2">
      <c r="B24" s="2"/>
      <c r="C24" s="2"/>
      <c r="D24" s="2"/>
    </row>
    <row r="25" spans="2:4" ht="14" x14ac:dyDescent="0.2">
      <c r="B25" s="2"/>
      <c r="C25" s="2"/>
      <c r="D25" s="2"/>
    </row>
    <row r="26" spans="2:4" ht="14" x14ac:dyDescent="0.2">
      <c r="B26" s="2"/>
      <c r="C26" s="2"/>
      <c r="D26" s="2"/>
    </row>
    <row r="27" spans="2:4" ht="14" x14ac:dyDescent="0.2">
      <c r="B27" s="2"/>
      <c r="C27" s="2"/>
      <c r="D27" s="2"/>
    </row>
    <row r="28" spans="2:4" ht="14" x14ac:dyDescent="0.2">
      <c r="B28" s="2"/>
      <c r="C28" s="2"/>
      <c r="D28" s="2"/>
    </row>
    <row r="29" spans="2:4" ht="14" x14ac:dyDescent="0.2">
      <c r="B29" s="2"/>
      <c r="C29" s="2"/>
      <c r="D29" s="2"/>
    </row>
    <row r="30" spans="2:4" ht="14" x14ac:dyDescent="0.2">
      <c r="B30" s="2"/>
      <c r="C30" s="2"/>
      <c r="D30" s="2"/>
    </row>
    <row r="31" spans="2:4" ht="14" x14ac:dyDescent="0.2">
      <c r="B31" s="2"/>
      <c r="C31" s="2"/>
      <c r="D31" s="2"/>
    </row>
    <row r="32" spans="2:4" ht="14" x14ac:dyDescent="0.2">
      <c r="B32" s="2"/>
      <c r="C32" s="2"/>
      <c r="D32" s="2"/>
    </row>
    <row r="33" spans="2:4" ht="14" x14ac:dyDescent="0.2">
      <c r="B33" s="2"/>
      <c r="C33" s="2"/>
      <c r="D33" s="2"/>
    </row>
    <row r="34" spans="2:4" ht="14" x14ac:dyDescent="0.2">
      <c r="B34" s="2"/>
      <c r="C34" s="2"/>
      <c r="D34" s="2"/>
    </row>
    <row r="35" spans="2:4" ht="14" x14ac:dyDescent="0.2">
      <c r="B35" s="2"/>
      <c r="C35" s="2"/>
      <c r="D35" s="2"/>
    </row>
    <row r="36" spans="2:4" ht="14" x14ac:dyDescent="0.2">
      <c r="B36" s="2"/>
      <c r="C36" s="2"/>
      <c r="D36" s="2"/>
    </row>
    <row r="37" spans="2:4" ht="14" x14ac:dyDescent="0.2">
      <c r="B37" s="2"/>
      <c r="C37" s="2"/>
      <c r="D37" s="2"/>
    </row>
    <row r="38" spans="2:4" ht="14" x14ac:dyDescent="0.2">
      <c r="B38" s="2"/>
      <c r="C38" s="2"/>
      <c r="D38" s="2"/>
    </row>
    <row r="39" spans="2:4" ht="14" x14ac:dyDescent="0.2">
      <c r="B39" s="2"/>
      <c r="C39" s="2"/>
      <c r="D39" s="2"/>
    </row>
    <row r="40" spans="2:4" ht="14" x14ac:dyDescent="0.2">
      <c r="B40" s="2"/>
      <c r="C40" s="2"/>
      <c r="D40" s="2"/>
    </row>
    <row r="41" spans="2:4" ht="14" x14ac:dyDescent="0.2">
      <c r="B41" s="2"/>
      <c r="C41" s="2"/>
      <c r="D41" s="2"/>
    </row>
    <row r="42" spans="2:4" ht="14" x14ac:dyDescent="0.2">
      <c r="B42" s="2"/>
      <c r="C42" s="2"/>
      <c r="D42" s="2"/>
    </row>
    <row r="43" spans="2:4" ht="14" x14ac:dyDescent="0.2">
      <c r="B43" s="2"/>
      <c r="C43" s="2"/>
      <c r="D43" s="2"/>
    </row>
    <row r="44" spans="2:4" ht="14" x14ac:dyDescent="0.2">
      <c r="B44" s="2"/>
      <c r="C44" s="2"/>
      <c r="D44" s="2"/>
    </row>
    <row r="45" spans="2:4" ht="14" x14ac:dyDescent="0.2">
      <c r="B45" s="2"/>
      <c r="C45" s="2"/>
      <c r="D45" s="2"/>
    </row>
    <row r="46" spans="2:4" ht="14" x14ac:dyDescent="0.2">
      <c r="B46" s="2"/>
      <c r="C46" s="2"/>
      <c r="D46" s="2"/>
    </row>
    <row r="47" spans="2:4" ht="14" x14ac:dyDescent="0.2">
      <c r="B47" s="2"/>
      <c r="C47" s="2"/>
      <c r="D47" s="2"/>
    </row>
    <row r="48" spans="2:4" ht="14" x14ac:dyDescent="0.2">
      <c r="B48" s="2"/>
      <c r="C48" s="2"/>
      <c r="D48" s="2"/>
    </row>
    <row r="49" spans="2:4" ht="14" x14ac:dyDescent="0.2">
      <c r="B49" s="2"/>
      <c r="C49" s="2"/>
      <c r="D49" s="2"/>
    </row>
    <row r="50" spans="2:4" ht="14" x14ac:dyDescent="0.2">
      <c r="B50" s="2"/>
      <c r="C50" s="2"/>
      <c r="D50" s="2"/>
    </row>
    <row r="51" spans="2:4" ht="14" x14ac:dyDescent="0.2">
      <c r="B51" s="2"/>
      <c r="C51" s="2"/>
      <c r="D51" s="2"/>
    </row>
    <row r="52" spans="2:4" ht="14" x14ac:dyDescent="0.2">
      <c r="B52" s="2"/>
      <c r="C52" s="2"/>
      <c r="D52" s="2"/>
    </row>
    <row r="53" spans="2:4" ht="14" x14ac:dyDescent="0.2">
      <c r="B53" s="2"/>
      <c r="C53" s="2"/>
      <c r="D53" s="2"/>
    </row>
    <row r="54" spans="2:4" ht="14" x14ac:dyDescent="0.2">
      <c r="B54" s="2"/>
      <c r="C54" s="2"/>
      <c r="D54" s="2"/>
    </row>
    <row r="55" spans="2:4" ht="14" x14ac:dyDescent="0.2">
      <c r="B55" s="2"/>
      <c r="C55" s="2"/>
      <c r="D55" s="2"/>
    </row>
    <row r="56" spans="2:4" ht="14" x14ac:dyDescent="0.2">
      <c r="B56" s="2"/>
      <c r="C56" s="2"/>
      <c r="D56" s="2"/>
    </row>
    <row r="57" spans="2:4" ht="14" x14ac:dyDescent="0.2">
      <c r="B57" s="2"/>
      <c r="C57" s="2"/>
      <c r="D57" s="2"/>
    </row>
    <row r="58" spans="2:4" ht="14" x14ac:dyDescent="0.2">
      <c r="B58" s="2"/>
      <c r="C58" s="2"/>
      <c r="D58" s="2"/>
    </row>
    <row r="59" spans="2:4" ht="14" x14ac:dyDescent="0.2">
      <c r="B59" s="2"/>
      <c r="C59" s="2"/>
      <c r="D59" s="2"/>
    </row>
    <row r="60" spans="2:4" ht="14" x14ac:dyDescent="0.2">
      <c r="B60" s="2"/>
      <c r="C60" s="2"/>
      <c r="D60" s="2"/>
    </row>
    <row r="61" spans="2:4" ht="14" x14ac:dyDescent="0.2">
      <c r="B61" s="2"/>
      <c r="C61" s="2"/>
      <c r="D61" s="2"/>
    </row>
    <row r="62" spans="2:4" ht="14" x14ac:dyDescent="0.2">
      <c r="B62" s="2"/>
      <c r="C62" s="2"/>
      <c r="D62" s="2"/>
    </row>
    <row r="63" spans="2:4" ht="14" x14ac:dyDescent="0.2">
      <c r="B63" s="2"/>
      <c r="C63" s="2"/>
      <c r="D63" s="2"/>
    </row>
    <row r="64" spans="2:4" ht="14" x14ac:dyDescent="0.2">
      <c r="B64" s="2"/>
      <c r="C64" s="2"/>
      <c r="D64" s="2"/>
    </row>
    <row r="65" spans="2:4" ht="14" x14ac:dyDescent="0.2">
      <c r="B65" s="2"/>
      <c r="C65" s="2"/>
      <c r="D65" s="2"/>
    </row>
    <row r="66" spans="2:4" ht="14" x14ac:dyDescent="0.2">
      <c r="B66" s="2"/>
      <c r="C66" s="2"/>
      <c r="D66" s="2"/>
    </row>
    <row r="67" spans="2:4" ht="14" x14ac:dyDescent="0.2">
      <c r="B67" s="2"/>
      <c r="C67" s="2"/>
      <c r="D67" s="2"/>
    </row>
    <row r="68" spans="2:4" ht="14" x14ac:dyDescent="0.2">
      <c r="B68" s="2"/>
      <c r="C68" s="2"/>
      <c r="D68" s="2"/>
    </row>
    <row r="69" spans="2:4" ht="14" x14ac:dyDescent="0.2">
      <c r="B69" s="2"/>
      <c r="C69" s="2"/>
      <c r="D69" s="2"/>
    </row>
    <row r="70" spans="2:4" ht="14" x14ac:dyDescent="0.2">
      <c r="B70" s="2"/>
      <c r="C70" s="2"/>
      <c r="D70" s="2"/>
    </row>
    <row r="71" spans="2:4" ht="14" x14ac:dyDescent="0.2">
      <c r="B71" s="2"/>
      <c r="C71" s="2"/>
      <c r="D71" s="2"/>
    </row>
    <row r="72" spans="2:4" ht="14" x14ac:dyDescent="0.2">
      <c r="B72" s="2"/>
      <c r="C72" s="2"/>
      <c r="D72" s="2"/>
    </row>
    <row r="73" spans="2:4" ht="14" x14ac:dyDescent="0.2">
      <c r="B73" s="2"/>
      <c r="C73" s="2"/>
      <c r="D73" s="2"/>
    </row>
    <row r="74" spans="2:4" ht="14" x14ac:dyDescent="0.2">
      <c r="B74" s="2"/>
      <c r="C74" s="2"/>
      <c r="D74" s="2"/>
    </row>
    <row r="75" spans="2:4" ht="14" x14ac:dyDescent="0.2">
      <c r="B75" s="2"/>
      <c r="C75" s="2"/>
      <c r="D75" s="2"/>
    </row>
    <row r="76" spans="2:4" ht="14" x14ac:dyDescent="0.2">
      <c r="B76" s="2"/>
      <c r="C76" s="2"/>
      <c r="D76" s="2"/>
    </row>
    <row r="77" spans="2:4" ht="14" x14ac:dyDescent="0.2">
      <c r="B77" s="2"/>
      <c r="C77" s="2"/>
      <c r="D77" s="2"/>
    </row>
    <row r="78" spans="2:4" ht="14" x14ac:dyDescent="0.2">
      <c r="B78" s="2"/>
      <c r="C78" s="2"/>
      <c r="D78" s="2"/>
    </row>
    <row r="79" spans="2:4" ht="14" x14ac:dyDescent="0.2">
      <c r="B79" s="2"/>
      <c r="C79" s="2"/>
      <c r="D79" s="2"/>
    </row>
    <row r="80" spans="2:4" ht="14" x14ac:dyDescent="0.2">
      <c r="B80" s="2"/>
      <c r="C80" s="2"/>
      <c r="D80" s="2"/>
    </row>
    <row r="81" spans="2:4" ht="14" x14ac:dyDescent="0.2">
      <c r="B81" s="2"/>
      <c r="C81" s="2"/>
      <c r="D81" s="2"/>
    </row>
    <row r="82" spans="2:4" ht="14" x14ac:dyDescent="0.2">
      <c r="B82" s="2"/>
      <c r="C82" s="2"/>
      <c r="D82" s="2"/>
    </row>
    <row r="83" spans="2:4" ht="14" x14ac:dyDescent="0.2">
      <c r="B83" s="2"/>
      <c r="C83" s="2"/>
      <c r="D83" s="2"/>
    </row>
    <row r="84" spans="2:4" ht="14" x14ac:dyDescent="0.2">
      <c r="B84" s="2"/>
      <c r="C84" s="2"/>
      <c r="D84" s="2"/>
    </row>
    <row r="85" spans="2:4" ht="14" x14ac:dyDescent="0.2">
      <c r="B85" s="2"/>
      <c r="C85" s="2"/>
      <c r="D85" s="2"/>
    </row>
    <row r="86" spans="2:4" ht="14" x14ac:dyDescent="0.2">
      <c r="B86" s="2"/>
      <c r="C86" s="2"/>
      <c r="D86" s="2"/>
    </row>
    <row r="87" spans="2:4" ht="14" x14ac:dyDescent="0.2">
      <c r="B87" s="2"/>
      <c r="C87" s="2"/>
      <c r="D87" s="2"/>
    </row>
    <row r="88" spans="2:4" ht="14" x14ac:dyDescent="0.2">
      <c r="B88" s="2"/>
      <c r="C88" s="2"/>
      <c r="D88" s="2"/>
    </row>
    <row r="89" spans="2:4" ht="14" x14ac:dyDescent="0.2">
      <c r="B89" s="2"/>
      <c r="C89" s="2"/>
      <c r="D89" s="2"/>
    </row>
    <row r="90" spans="2:4" ht="14" x14ac:dyDescent="0.2">
      <c r="B90" s="2"/>
      <c r="C90" s="2"/>
      <c r="D90" s="2"/>
    </row>
    <row r="91" spans="2:4" ht="14" x14ac:dyDescent="0.2">
      <c r="B91" s="2"/>
      <c r="C91" s="2"/>
      <c r="D91" s="2"/>
    </row>
    <row r="92" spans="2:4" ht="14" x14ac:dyDescent="0.2">
      <c r="B92" s="2"/>
      <c r="C92" s="2"/>
      <c r="D92" s="2"/>
    </row>
    <row r="93" spans="2:4" ht="14" x14ac:dyDescent="0.2">
      <c r="B93" s="2"/>
      <c r="C93" s="2"/>
      <c r="D93" s="2"/>
    </row>
    <row r="94" spans="2:4" ht="14" x14ac:dyDescent="0.2">
      <c r="B94" s="2"/>
      <c r="C94" s="2"/>
      <c r="D94" s="2"/>
    </row>
    <row r="95" spans="2:4" ht="14" x14ac:dyDescent="0.2">
      <c r="B95" s="2"/>
      <c r="C95" s="2"/>
      <c r="D95" s="2"/>
    </row>
    <row r="96" spans="2:4" ht="14" x14ac:dyDescent="0.2">
      <c r="B96" s="2"/>
      <c r="C96" s="2"/>
      <c r="D96" s="2"/>
    </row>
    <row r="97" spans="2:4" ht="14" x14ac:dyDescent="0.2">
      <c r="B97" s="2"/>
      <c r="C97" s="2"/>
      <c r="D97" s="2"/>
    </row>
    <row r="98" spans="2:4" ht="14" x14ac:dyDescent="0.2">
      <c r="B98" s="2"/>
      <c r="C98" s="2"/>
      <c r="D98" s="2"/>
    </row>
    <row r="99" spans="2:4" ht="14" x14ac:dyDescent="0.2">
      <c r="B99" s="2"/>
      <c r="C99" s="2"/>
      <c r="D99" s="2"/>
    </row>
    <row r="100" spans="2:4" ht="14" x14ac:dyDescent="0.2">
      <c r="B100" s="2"/>
      <c r="C100" s="2"/>
      <c r="D100" s="2"/>
    </row>
    <row r="101" spans="2:4" ht="14" x14ac:dyDescent="0.2">
      <c r="B101" s="2"/>
      <c r="C101" s="2"/>
      <c r="D101" s="2"/>
    </row>
    <row r="102" spans="2:4" ht="14" x14ac:dyDescent="0.2">
      <c r="B102" s="2"/>
      <c r="C102" s="2"/>
      <c r="D102" s="2"/>
    </row>
    <row r="103" spans="2:4" ht="14" x14ac:dyDescent="0.2">
      <c r="B103" s="2"/>
      <c r="C103" s="2"/>
      <c r="D103" s="2"/>
    </row>
    <row r="104" spans="2:4" ht="14" x14ac:dyDescent="0.2">
      <c r="B104" s="2"/>
      <c r="C104" s="2"/>
      <c r="D104" s="2"/>
    </row>
    <row r="105" spans="2:4" ht="14" x14ac:dyDescent="0.2">
      <c r="B105" s="2"/>
      <c r="C105" s="2"/>
      <c r="D105" s="2"/>
    </row>
    <row r="106" spans="2:4" ht="14" x14ac:dyDescent="0.2">
      <c r="B106" s="2"/>
      <c r="C106" s="2"/>
      <c r="D106" s="2"/>
    </row>
    <row r="107" spans="2:4" ht="14" x14ac:dyDescent="0.2">
      <c r="B107" s="2"/>
      <c r="C107" s="2"/>
      <c r="D107" s="2"/>
    </row>
    <row r="108" spans="2:4" ht="14" x14ac:dyDescent="0.2">
      <c r="B108" s="2"/>
      <c r="C108" s="2"/>
      <c r="D108" s="2"/>
    </row>
    <row r="109" spans="2:4" ht="14" x14ac:dyDescent="0.2">
      <c r="B109" s="2"/>
      <c r="C109" s="2"/>
      <c r="D109" s="2"/>
    </row>
    <row r="110" spans="2:4" ht="14" x14ac:dyDescent="0.2">
      <c r="B110" s="2"/>
      <c r="C110" s="2"/>
      <c r="D110" s="2"/>
    </row>
    <row r="111" spans="2:4" ht="14" x14ac:dyDescent="0.2">
      <c r="B111" s="2"/>
      <c r="C111" s="2"/>
      <c r="D111" s="2"/>
    </row>
    <row r="112" spans="2:4" ht="14" x14ac:dyDescent="0.2">
      <c r="B112" s="2"/>
      <c r="C112" s="2"/>
      <c r="D112" s="2"/>
    </row>
    <row r="113" spans="2:4" ht="14" x14ac:dyDescent="0.2">
      <c r="B113" s="2"/>
      <c r="C113" s="2"/>
      <c r="D113" s="2"/>
    </row>
    <row r="114" spans="2:4" ht="14" x14ac:dyDescent="0.2">
      <c r="B114" s="2"/>
      <c r="C114" s="2"/>
      <c r="D114" s="2"/>
    </row>
    <row r="115" spans="2:4" ht="14" x14ac:dyDescent="0.2">
      <c r="B115" s="2"/>
      <c r="C115" s="2"/>
      <c r="D115" s="2"/>
    </row>
    <row r="116" spans="2:4" ht="14" x14ac:dyDescent="0.2">
      <c r="B116" s="2"/>
      <c r="C116" s="2"/>
      <c r="D116" s="2"/>
    </row>
    <row r="117" spans="2:4" ht="14" x14ac:dyDescent="0.2">
      <c r="B117" s="2"/>
      <c r="C117" s="2"/>
      <c r="D117" s="2"/>
    </row>
    <row r="118" spans="2:4" ht="14" x14ac:dyDescent="0.2">
      <c r="B118" s="2"/>
      <c r="C118" s="2"/>
      <c r="D118" s="2"/>
    </row>
    <row r="119" spans="2:4" ht="14" x14ac:dyDescent="0.2">
      <c r="B119" s="2"/>
      <c r="C119" s="2"/>
      <c r="D119" s="2"/>
    </row>
    <row r="120" spans="2:4" ht="14" x14ac:dyDescent="0.2">
      <c r="B120" s="2"/>
      <c r="C120" s="2"/>
      <c r="D120" s="2"/>
    </row>
    <row r="121" spans="2:4" ht="14" x14ac:dyDescent="0.2">
      <c r="B121" s="2"/>
      <c r="C121" s="2"/>
      <c r="D121" s="2"/>
    </row>
    <row r="122" spans="2:4" ht="14" x14ac:dyDescent="0.2">
      <c r="B122" s="2"/>
      <c r="C122" s="2"/>
      <c r="D122" s="2"/>
    </row>
    <row r="123" spans="2:4" ht="14" x14ac:dyDescent="0.2">
      <c r="B123" s="2"/>
      <c r="C123" s="2"/>
      <c r="D123" s="2"/>
    </row>
    <row r="124" spans="2:4" ht="14" x14ac:dyDescent="0.2">
      <c r="B124" s="2"/>
      <c r="C124" s="2"/>
      <c r="D124" s="2"/>
    </row>
    <row r="125" spans="2:4" ht="14" x14ac:dyDescent="0.2">
      <c r="B125" s="2"/>
      <c r="C125" s="2"/>
      <c r="D125" s="2"/>
    </row>
    <row r="126" spans="2:4" ht="14" x14ac:dyDescent="0.2">
      <c r="B126" s="2"/>
      <c r="C126" s="2"/>
      <c r="D126" s="2"/>
    </row>
    <row r="127" spans="2:4" ht="14" x14ac:dyDescent="0.2">
      <c r="B127" s="2"/>
      <c r="C127" s="2"/>
      <c r="D127" s="2"/>
    </row>
    <row r="128" spans="2:4" ht="14" x14ac:dyDescent="0.2">
      <c r="B128" s="2"/>
      <c r="C128" s="2"/>
      <c r="D128" s="2"/>
    </row>
    <row r="129" spans="2:4" ht="14" x14ac:dyDescent="0.2">
      <c r="B129" s="2"/>
      <c r="C129" s="2"/>
      <c r="D129" s="2"/>
    </row>
    <row r="130" spans="2:4" ht="14" x14ac:dyDescent="0.2">
      <c r="B130" s="2"/>
      <c r="C130" s="2"/>
      <c r="D130" s="2"/>
    </row>
    <row r="131" spans="2:4" ht="14" x14ac:dyDescent="0.2">
      <c r="B131" s="2"/>
      <c r="C131" s="2"/>
      <c r="D131" s="2"/>
    </row>
    <row r="132" spans="2:4" ht="14" x14ac:dyDescent="0.2">
      <c r="B132" s="2"/>
      <c r="C132" s="2"/>
      <c r="D132" s="2"/>
    </row>
    <row r="133" spans="2:4" ht="14" x14ac:dyDescent="0.2">
      <c r="B133" s="2"/>
      <c r="C133" s="2"/>
      <c r="D133" s="2"/>
    </row>
    <row r="134" spans="2:4" ht="14" x14ac:dyDescent="0.2">
      <c r="B134" s="2"/>
      <c r="C134" s="2"/>
      <c r="D134" s="2"/>
    </row>
    <row r="135" spans="2:4" ht="14" x14ac:dyDescent="0.2">
      <c r="B135" s="2"/>
      <c r="C135" s="2"/>
      <c r="D135" s="2"/>
    </row>
    <row r="136" spans="2:4" ht="14" x14ac:dyDescent="0.2">
      <c r="B136" s="2"/>
      <c r="C136" s="2"/>
      <c r="D136" s="2"/>
    </row>
    <row r="137" spans="2:4" ht="14" x14ac:dyDescent="0.2">
      <c r="B137" s="2"/>
      <c r="C137" s="2"/>
      <c r="D137" s="2"/>
    </row>
    <row r="138" spans="2:4" ht="14" x14ac:dyDescent="0.2">
      <c r="B138" s="2"/>
      <c r="C138" s="2"/>
      <c r="D138" s="2"/>
    </row>
    <row r="139" spans="2:4" ht="14" x14ac:dyDescent="0.2">
      <c r="B139" s="2"/>
      <c r="C139" s="2"/>
      <c r="D139" s="2"/>
    </row>
    <row r="140" spans="2:4" ht="14" x14ac:dyDescent="0.2">
      <c r="B140" s="2"/>
      <c r="C140" s="2"/>
      <c r="D140" s="2"/>
    </row>
    <row r="141" spans="2:4" ht="14" x14ac:dyDescent="0.2">
      <c r="B141" s="2"/>
      <c r="C141" s="2"/>
      <c r="D141" s="2"/>
    </row>
    <row r="142" spans="2:4" ht="14" x14ac:dyDescent="0.2">
      <c r="B142" s="2"/>
      <c r="C142" s="2"/>
      <c r="D142" s="2"/>
    </row>
    <row r="143" spans="2:4" ht="14" x14ac:dyDescent="0.2">
      <c r="B143" s="2"/>
      <c r="C143" s="2"/>
      <c r="D143" s="2"/>
    </row>
    <row r="144" spans="2:4" ht="14" x14ac:dyDescent="0.2">
      <c r="B144" s="2"/>
      <c r="C144" s="2"/>
      <c r="D144" s="2"/>
    </row>
    <row r="145" spans="2:4" ht="14" x14ac:dyDescent="0.2">
      <c r="B145" s="2"/>
      <c r="C145" s="2"/>
      <c r="D145" s="2"/>
    </row>
    <row r="146" spans="2:4" ht="14" x14ac:dyDescent="0.2">
      <c r="B146" s="2"/>
      <c r="C146" s="2"/>
      <c r="D146" s="2"/>
    </row>
    <row r="147" spans="2:4" ht="14" x14ac:dyDescent="0.2">
      <c r="B147" s="2"/>
      <c r="C147" s="2"/>
      <c r="D147" s="2"/>
    </row>
    <row r="148" spans="2:4" ht="14" x14ac:dyDescent="0.2">
      <c r="B148" s="2"/>
      <c r="C148" s="2"/>
      <c r="D148" s="2"/>
    </row>
    <row r="149" spans="2:4" ht="14" x14ac:dyDescent="0.2">
      <c r="B149" s="2"/>
      <c r="C149" s="2"/>
      <c r="D149" s="2"/>
    </row>
    <row r="150" spans="2:4" ht="14" x14ac:dyDescent="0.2">
      <c r="B150" s="2"/>
      <c r="C150" s="2"/>
      <c r="D150" s="2"/>
    </row>
    <row r="151" spans="2:4" ht="14" x14ac:dyDescent="0.2">
      <c r="B151" s="2"/>
      <c r="C151" s="2"/>
      <c r="D151" s="2"/>
    </row>
    <row r="152" spans="2:4" ht="14" x14ac:dyDescent="0.2">
      <c r="B152" s="2"/>
      <c r="C152" s="2"/>
      <c r="D152" s="2"/>
    </row>
    <row r="153" spans="2:4" ht="14" x14ac:dyDescent="0.2">
      <c r="B153" s="2"/>
      <c r="C153" s="2"/>
      <c r="D153" s="2"/>
    </row>
    <row r="154" spans="2:4" ht="14" x14ac:dyDescent="0.2">
      <c r="B154" s="2"/>
      <c r="C154" s="2"/>
      <c r="D154" s="2"/>
    </row>
    <row r="155" spans="2:4" ht="14" x14ac:dyDescent="0.2">
      <c r="B155" s="2"/>
      <c r="C155" s="2"/>
      <c r="D155" s="2"/>
    </row>
    <row r="156" spans="2:4" ht="14" x14ac:dyDescent="0.2">
      <c r="B156" s="2"/>
      <c r="C156" s="2"/>
      <c r="D156" s="2"/>
    </row>
    <row r="157" spans="2:4" ht="14" x14ac:dyDescent="0.2">
      <c r="B157" s="2"/>
      <c r="C157" s="2"/>
      <c r="D157" s="2"/>
    </row>
    <row r="158" spans="2:4" ht="14" x14ac:dyDescent="0.2">
      <c r="B158" s="2"/>
      <c r="C158" s="2"/>
      <c r="D158" s="2"/>
    </row>
    <row r="159" spans="2:4" ht="14" x14ac:dyDescent="0.2">
      <c r="B159" s="2"/>
      <c r="C159" s="2"/>
      <c r="D159" s="2"/>
    </row>
    <row r="160" spans="2:4" ht="14" x14ac:dyDescent="0.2">
      <c r="B160" s="2"/>
      <c r="C160" s="2"/>
      <c r="D160" s="2"/>
    </row>
    <row r="161" spans="2:4" ht="14" x14ac:dyDescent="0.2">
      <c r="B161" s="2"/>
      <c r="C161" s="2"/>
      <c r="D161" s="2"/>
    </row>
    <row r="162" spans="2:4" ht="14" x14ac:dyDescent="0.2">
      <c r="B162" s="2"/>
      <c r="C162" s="2"/>
      <c r="D162" s="2"/>
    </row>
    <row r="163" spans="2:4" ht="14" x14ac:dyDescent="0.2">
      <c r="B163" s="2"/>
      <c r="C163" s="2"/>
      <c r="D163" s="2"/>
    </row>
    <row r="164" spans="2:4" ht="14" x14ac:dyDescent="0.2">
      <c r="B164" s="2"/>
      <c r="C164" s="2"/>
      <c r="D164" s="2"/>
    </row>
    <row r="165" spans="2:4" ht="14" x14ac:dyDescent="0.2">
      <c r="B165" s="2"/>
      <c r="C165" s="2"/>
      <c r="D165" s="2"/>
    </row>
    <row r="166" spans="2:4" ht="14" x14ac:dyDescent="0.2">
      <c r="B166" s="2"/>
      <c r="C166" s="2"/>
      <c r="D166" s="2"/>
    </row>
    <row r="167" spans="2:4" ht="14" x14ac:dyDescent="0.2">
      <c r="B167" s="2"/>
      <c r="C167" s="2"/>
      <c r="D167" s="2"/>
    </row>
    <row r="168" spans="2:4" ht="14" x14ac:dyDescent="0.2">
      <c r="B168" s="2"/>
      <c r="C168" s="2"/>
      <c r="D168" s="2"/>
    </row>
    <row r="169" spans="2:4" ht="14" x14ac:dyDescent="0.2">
      <c r="B169" s="2"/>
      <c r="C169" s="2"/>
      <c r="D169" s="2"/>
    </row>
    <row r="170" spans="2:4" ht="14" x14ac:dyDescent="0.2">
      <c r="B170" s="2"/>
      <c r="C170" s="2"/>
      <c r="D170" s="2"/>
    </row>
    <row r="171" spans="2:4" ht="14" x14ac:dyDescent="0.2">
      <c r="B171" s="2"/>
      <c r="C171" s="2"/>
      <c r="D171" s="2"/>
    </row>
    <row r="172" spans="2:4" ht="14" x14ac:dyDescent="0.2">
      <c r="B172" s="2"/>
      <c r="C172" s="2"/>
      <c r="D172" s="2"/>
    </row>
    <row r="173" spans="2:4" ht="14" x14ac:dyDescent="0.2">
      <c r="B173" s="2"/>
      <c r="C173" s="2"/>
      <c r="D173" s="2"/>
    </row>
    <row r="174" spans="2:4" ht="14" x14ac:dyDescent="0.2">
      <c r="B174" s="2"/>
      <c r="C174" s="2"/>
      <c r="D174" s="2"/>
    </row>
    <row r="175" spans="2:4" ht="14" x14ac:dyDescent="0.2">
      <c r="B175" s="2"/>
      <c r="C175" s="2"/>
      <c r="D175" s="2"/>
    </row>
    <row r="176" spans="2:4" ht="14" x14ac:dyDescent="0.2">
      <c r="B176" s="2"/>
      <c r="C176" s="2"/>
      <c r="D176" s="2"/>
    </row>
    <row r="177" spans="2:4" ht="14" x14ac:dyDescent="0.2">
      <c r="B177" s="2"/>
      <c r="C177" s="2"/>
      <c r="D177" s="2"/>
    </row>
    <row r="178" spans="2:4" ht="14" x14ac:dyDescent="0.2">
      <c r="B178" s="2"/>
      <c r="C178" s="2"/>
      <c r="D178" s="2"/>
    </row>
    <row r="179" spans="2:4" ht="14" x14ac:dyDescent="0.2">
      <c r="B179" s="2"/>
      <c r="C179" s="2"/>
      <c r="D179" s="2"/>
    </row>
    <row r="180" spans="2:4" ht="14" x14ac:dyDescent="0.2">
      <c r="B180" s="2"/>
      <c r="C180" s="2"/>
      <c r="D180" s="2"/>
    </row>
    <row r="181" spans="2:4" ht="14" x14ac:dyDescent="0.2">
      <c r="B181" s="2"/>
      <c r="C181" s="2"/>
      <c r="D181" s="2"/>
    </row>
    <row r="182" spans="2:4" ht="14" x14ac:dyDescent="0.2">
      <c r="B182" s="2"/>
      <c r="C182" s="2"/>
      <c r="D182" s="2"/>
    </row>
    <row r="183" spans="2:4" ht="14" x14ac:dyDescent="0.2">
      <c r="B183" s="2"/>
      <c r="C183" s="2"/>
      <c r="D183" s="2"/>
    </row>
    <row r="184" spans="2:4" ht="14" x14ac:dyDescent="0.2">
      <c r="B184" s="2"/>
      <c r="C184" s="2"/>
      <c r="D184" s="2"/>
    </row>
    <row r="185" spans="2:4" ht="14" x14ac:dyDescent="0.2">
      <c r="B185" s="2"/>
      <c r="C185" s="2"/>
      <c r="D185" s="2"/>
    </row>
    <row r="186" spans="2:4" ht="14" x14ac:dyDescent="0.2">
      <c r="B186" s="2"/>
      <c r="C186" s="2"/>
      <c r="D186" s="2"/>
    </row>
    <row r="187" spans="2:4" ht="14" x14ac:dyDescent="0.2">
      <c r="B187" s="2"/>
      <c r="C187" s="2"/>
      <c r="D187" s="2"/>
    </row>
    <row r="188" spans="2:4" ht="14" x14ac:dyDescent="0.2">
      <c r="B188" s="2"/>
      <c r="C188" s="2"/>
      <c r="D188" s="2"/>
    </row>
    <row r="189" spans="2:4" ht="14" x14ac:dyDescent="0.2">
      <c r="B189" s="2"/>
      <c r="C189" s="2"/>
      <c r="D189" s="2"/>
    </row>
    <row r="190" spans="2:4" ht="14" x14ac:dyDescent="0.2">
      <c r="B190" s="2"/>
      <c r="C190" s="2"/>
      <c r="D190" s="2"/>
    </row>
    <row r="191" spans="2:4" ht="14" x14ac:dyDescent="0.2">
      <c r="B191" s="2"/>
      <c r="C191" s="2"/>
      <c r="D191" s="2"/>
    </row>
    <row r="192" spans="2:4" ht="14" x14ac:dyDescent="0.2">
      <c r="B192" s="2"/>
      <c r="C192" s="2"/>
      <c r="D192" s="2"/>
    </row>
    <row r="193" spans="2:4" ht="14" x14ac:dyDescent="0.2">
      <c r="B193" s="2"/>
      <c r="C193" s="2"/>
      <c r="D193" s="2"/>
    </row>
    <row r="194" spans="2:4" ht="14" x14ac:dyDescent="0.2">
      <c r="B194" s="2"/>
      <c r="C194" s="2"/>
      <c r="D194" s="2"/>
    </row>
    <row r="195" spans="2:4" ht="14" x14ac:dyDescent="0.2">
      <c r="B195" s="2"/>
      <c r="C195" s="2"/>
      <c r="D195" s="2"/>
    </row>
    <row r="196" spans="2:4" ht="14" x14ac:dyDescent="0.2">
      <c r="B196" s="2"/>
      <c r="C196" s="2"/>
      <c r="D196" s="2"/>
    </row>
    <row r="197" spans="2:4" ht="14" x14ac:dyDescent="0.2">
      <c r="B197" s="2"/>
      <c r="C197" s="2"/>
      <c r="D197" s="2"/>
    </row>
    <row r="198" spans="2:4" ht="14" x14ac:dyDescent="0.2">
      <c r="B198" s="2"/>
      <c r="C198" s="2"/>
      <c r="D198" s="2"/>
    </row>
    <row r="199" spans="2:4" ht="14" x14ac:dyDescent="0.2">
      <c r="B199" s="2"/>
      <c r="C199" s="2"/>
      <c r="D199" s="2"/>
    </row>
    <row r="200" spans="2:4" ht="14" x14ac:dyDescent="0.2">
      <c r="B200" s="2"/>
      <c r="C200" s="2"/>
      <c r="D200" s="2"/>
    </row>
    <row r="201" spans="2:4" ht="14" x14ac:dyDescent="0.2">
      <c r="B201" s="2"/>
      <c r="C201" s="2"/>
      <c r="D201" s="2"/>
    </row>
    <row r="202" spans="2:4" ht="14" x14ac:dyDescent="0.2">
      <c r="B202" s="2"/>
      <c r="C202" s="2"/>
      <c r="D202" s="2"/>
    </row>
    <row r="203" spans="2:4" ht="14" x14ac:dyDescent="0.2">
      <c r="B203" s="2"/>
      <c r="C203" s="2"/>
      <c r="D203" s="2"/>
    </row>
    <row r="204" spans="2:4" ht="14" x14ac:dyDescent="0.2">
      <c r="B204" s="2"/>
      <c r="C204" s="2"/>
      <c r="D204" s="2"/>
    </row>
    <row r="205" spans="2:4" ht="14" x14ac:dyDescent="0.2">
      <c r="B205" s="2"/>
      <c r="C205" s="2"/>
      <c r="D205" s="2"/>
    </row>
    <row r="206" spans="2:4" ht="14" x14ac:dyDescent="0.2">
      <c r="B206" s="2"/>
      <c r="C206" s="2"/>
      <c r="D206" s="2"/>
    </row>
    <row r="207" spans="2:4" ht="14" x14ac:dyDescent="0.2">
      <c r="B207" s="2"/>
      <c r="C207" s="2"/>
      <c r="D207" s="2"/>
    </row>
    <row r="208" spans="2:4" ht="14" x14ac:dyDescent="0.2">
      <c r="B208" s="2"/>
      <c r="C208" s="2"/>
      <c r="D208" s="2"/>
    </row>
    <row r="209" spans="2:4" ht="14" x14ac:dyDescent="0.2">
      <c r="B209" s="2"/>
      <c r="C209" s="2"/>
      <c r="D209" s="2"/>
    </row>
    <row r="210" spans="2:4" ht="14" x14ac:dyDescent="0.2">
      <c r="B210" s="2"/>
      <c r="C210" s="2"/>
      <c r="D210" s="2"/>
    </row>
    <row r="211" spans="2:4" ht="14" x14ac:dyDescent="0.2">
      <c r="B211" s="2"/>
      <c r="C211" s="2"/>
      <c r="D211" s="2"/>
    </row>
    <row r="212" spans="2:4" ht="14" x14ac:dyDescent="0.2">
      <c r="B212" s="2"/>
      <c r="C212" s="2"/>
      <c r="D212" s="2"/>
    </row>
    <row r="213" spans="2:4" ht="14" x14ac:dyDescent="0.2">
      <c r="B213" s="2"/>
      <c r="C213" s="2"/>
      <c r="D213" s="2"/>
    </row>
    <row r="214" spans="2:4" ht="14" x14ac:dyDescent="0.2">
      <c r="B214" s="2"/>
      <c r="C214" s="2"/>
      <c r="D214" s="2"/>
    </row>
    <row r="215" spans="2:4" ht="14" x14ac:dyDescent="0.2">
      <c r="B215" s="2"/>
      <c r="C215" s="2"/>
      <c r="D215" s="2"/>
    </row>
    <row r="216" spans="2:4" ht="14" x14ac:dyDescent="0.2">
      <c r="B216" s="2"/>
      <c r="C216" s="2"/>
      <c r="D216" s="2"/>
    </row>
    <row r="217" spans="2:4" ht="14" x14ac:dyDescent="0.2">
      <c r="B217" s="2"/>
      <c r="C217" s="2"/>
      <c r="D217" s="2"/>
    </row>
    <row r="218" spans="2:4" ht="14" x14ac:dyDescent="0.2">
      <c r="B218" s="2"/>
      <c r="C218" s="2"/>
      <c r="D218" s="2"/>
    </row>
    <row r="219" spans="2:4" ht="14" x14ac:dyDescent="0.2">
      <c r="B219" s="2"/>
      <c r="C219" s="2"/>
      <c r="D219" s="2"/>
    </row>
    <row r="220" spans="2:4" ht="14" x14ac:dyDescent="0.2">
      <c r="B220" s="2"/>
      <c r="C220" s="2"/>
      <c r="D220" s="2"/>
    </row>
    <row r="221" spans="2:4" ht="14" x14ac:dyDescent="0.2">
      <c r="B221" s="2"/>
      <c r="C221" s="2"/>
      <c r="D221" s="2"/>
    </row>
    <row r="222" spans="2:4" ht="14" x14ac:dyDescent="0.2">
      <c r="B222" s="2"/>
      <c r="C222" s="2"/>
      <c r="D222" s="2"/>
    </row>
    <row r="223" spans="2:4" ht="14" x14ac:dyDescent="0.2">
      <c r="B223" s="2"/>
      <c r="C223" s="2"/>
      <c r="D223" s="2"/>
    </row>
    <row r="224" spans="2:4" ht="14" x14ac:dyDescent="0.2">
      <c r="B224" s="2"/>
      <c r="C224" s="2"/>
      <c r="D224" s="2"/>
    </row>
    <row r="225" spans="2:4" ht="14" x14ac:dyDescent="0.2">
      <c r="B225" s="2"/>
      <c r="C225" s="2"/>
      <c r="D225" s="2"/>
    </row>
    <row r="226" spans="2:4" ht="14" x14ac:dyDescent="0.2">
      <c r="B226" s="2"/>
      <c r="C226" s="2"/>
      <c r="D226" s="2"/>
    </row>
    <row r="227" spans="2:4" ht="14" x14ac:dyDescent="0.2">
      <c r="B227" s="2"/>
      <c r="C227" s="2"/>
      <c r="D227" s="2"/>
    </row>
    <row r="228" spans="2:4" ht="14" x14ac:dyDescent="0.2">
      <c r="B228" s="2"/>
      <c r="C228" s="2"/>
      <c r="D228" s="2"/>
    </row>
    <row r="229" spans="2:4" ht="14" x14ac:dyDescent="0.2">
      <c r="B229" s="2"/>
      <c r="C229" s="2"/>
      <c r="D229" s="2"/>
    </row>
    <row r="230" spans="2:4" ht="14" x14ac:dyDescent="0.2">
      <c r="B230" s="2"/>
      <c r="C230" s="2"/>
      <c r="D230" s="2"/>
    </row>
    <row r="231" spans="2:4" ht="14" x14ac:dyDescent="0.2">
      <c r="B231" s="2"/>
      <c r="C231" s="2"/>
      <c r="D231" s="2"/>
    </row>
    <row r="232" spans="2:4" ht="14" x14ac:dyDescent="0.2">
      <c r="B232" s="2"/>
      <c r="C232" s="2"/>
      <c r="D232" s="2"/>
    </row>
    <row r="233" spans="2:4" ht="14" x14ac:dyDescent="0.2">
      <c r="B233" s="2"/>
      <c r="C233" s="2"/>
      <c r="D233" s="2"/>
    </row>
    <row r="234" spans="2:4" ht="14" x14ac:dyDescent="0.2">
      <c r="B234" s="2"/>
      <c r="C234" s="2"/>
      <c r="D234" s="2"/>
    </row>
    <row r="235" spans="2:4" ht="14" x14ac:dyDescent="0.2">
      <c r="B235" s="2"/>
      <c r="C235" s="2"/>
      <c r="D235" s="2"/>
    </row>
    <row r="236" spans="2:4" ht="14" x14ac:dyDescent="0.2">
      <c r="B236" s="2"/>
      <c r="C236" s="2"/>
      <c r="D236" s="2"/>
    </row>
    <row r="237" spans="2:4" ht="14" x14ac:dyDescent="0.2">
      <c r="B237" s="2"/>
      <c r="C237" s="2"/>
      <c r="D237" s="2"/>
    </row>
    <row r="238" spans="2:4" ht="14" x14ac:dyDescent="0.2">
      <c r="B238" s="2"/>
      <c r="C238" s="2"/>
      <c r="D238" s="2"/>
    </row>
    <row r="239" spans="2:4" ht="14" x14ac:dyDescent="0.2">
      <c r="B239" s="2"/>
      <c r="C239" s="2"/>
      <c r="D239" s="2"/>
    </row>
    <row r="240" spans="2:4" ht="14" x14ac:dyDescent="0.2">
      <c r="B240" s="2"/>
      <c r="C240" s="2"/>
      <c r="D240" s="2"/>
    </row>
    <row r="241" spans="2:4" ht="14" x14ac:dyDescent="0.2">
      <c r="B241" s="2"/>
      <c r="C241" s="2"/>
      <c r="D241" s="2"/>
    </row>
    <row r="242" spans="2:4" ht="14" x14ac:dyDescent="0.2">
      <c r="B242" s="2"/>
      <c r="C242" s="2"/>
      <c r="D242" s="2"/>
    </row>
    <row r="243" spans="2:4" ht="14" x14ac:dyDescent="0.2">
      <c r="B243" s="2"/>
      <c r="C243" s="2"/>
      <c r="D243" s="2"/>
    </row>
    <row r="244" spans="2:4" ht="14" x14ac:dyDescent="0.2">
      <c r="B244" s="2"/>
      <c r="C244" s="2"/>
      <c r="D244" s="2"/>
    </row>
    <row r="245" spans="2:4" ht="14" x14ac:dyDescent="0.2">
      <c r="B245" s="2"/>
      <c r="C245" s="2"/>
      <c r="D245" s="2"/>
    </row>
    <row r="246" spans="2:4" ht="14" x14ac:dyDescent="0.2">
      <c r="B246" s="2"/>
      <c r="C246" s="2"/>
      <c r="D246" s="2"/>
    </row>
    <row r="247" spans="2:4" ht="14" x14ac:dyDescent="0.2">
      <c r="B247" s="2"/>
      <c r="C247" s="2"/>
      <c r="D247" s="2"/>
    </row>
    <row r="248" spans="2:4" ht="14" x14ac:dyDescent="0.2">
      <c r="B248" s="2"/>
      <c r="C248" s="2"/>
      <c r="D248" s="2"/>
    </row>
    <row r="249" spans="2:4" ht="14" x14ac:dyDescent="0.2">
      <c r="B249" s="2"/>
      <c r="C249" s="2"/>
      <c r="D249" s="2"/>
    </row>
    <row r="250" spans="2:4" ht="14" x14ac:dyDescent="0.2">
      <c r="B250" s="2"/>
      <c r="C250" s="2"/>
      <c r="D250" s="2"/>
    </row>
    <row r="251" spans="2:4" ht="14" x14ac:dyDescent="0.2">
      <c r="B251" s="2"/>
      <c r="C251" s="2"/>
      <c r="D251" s="2"/>
    </row>
    <row r="252" spans="2:4" ht="14" x14ac:dyDescent="0.2">
      <c r="B252" s="2"/>
      <c r="C252" s="2"/>
      <c r="D252" s="2"/>
    </row>
    <row r="253" spans="2:4" ht="14" x14ac:dyDescent="0.2">
      <c r="B253" s="2"/>
      <c r="C253" s="2"/>
      <c r="D253" s="2"/>
    </row>
    <row r="254" spans="2:4" ht="14" x14ac:dyDescent="0.2">
      <c r="B254" s="2"/>
      <c r="C254" s="2"/>
      <c r="D254" s="2"/>
    </row>
    <row r="255" spans="2:4" ht="14" x14ac:dyDescent="0.2">
      <c r="B255" s="2"/>
      <c r="C255" s="2"/>
      <c r="D255" s="2"/>
    </row>
    <row r="256" spans="2:4" ht="14" x14ac:dyDescent="0.2">
      <c r="B256" s="2"/>
      <c r="C256" s="2"/>
      <c r="D256" s="2"/>
    </row>
    <row r="257" spans="2:4" ht="14" x14ac:dyDescent="0.2">
      <c r="B257" s="2"/>
      <c r="C257" s="2"/>
      <c r="D257" s="2"/>
    </row>
    <row r="258" spans="2:4" ht="14" x14ac:dyDescent="0.2">
      <c r="B258" s="2"/>
      <c r="C258" s="2"/>
      <c r="D258" s="2"/>
    </row>
    <row r="259" spans="2:4" ht="14" x14ac:dyDescent="0.2">
      <c r="B259" s="2"/>
      <c r="C259" s="2"/>
      <c r="D259" s="2"/>
    </row>
    <row r="260" spans="2:4" ht="14" x14ac:dyDescent="0.2">
      <c r="B260" s="2"/>
      <c r="C260" s="2"/>
      <c r="D260" s="2"/>
    </row>
    <row r="261" spans="2:4" ht="14" x14ac:dyDescent="0.2">
      <c r="B261" s="2"/>
      <c r="C261" s="2"/>
      <c r="D261" s="2"/>
    </row>
    <row r="262" spans="2:4" ht="14" x14ac:dyDescent="0.2">
      <c r="B262" s="2"/>
      <c r="C262" s="2"/>
      <c r="D262" s="2"/>
    </row>
    <row r="263" spans="2:4" ht="14" x14ac:dyDescent="0.2">
      <c r="B263" s="2"/>
      <c r="C263" s="2"/>
      <c r="D263" s="2"/>
    </row>
    <row r="264" spans="2:4" ht="14" x14ac:dyDescent="0.2">
      <c r="B264" s="2"/>
      <c r="C264" s="2"/>
      <c r="D264" s="2"/>
    </row>
    <row r="265" spans="2:4" ht="14" x14ac:dyDescent="0.2">
      <c r="B265" s="2"/>
      <c r="C265" s="2"/>
      <c r="D265" s="2"/>
    </row>
    <row r="266" spans="2:4" ht="14" x14ac:dyDescent="0.2">
      <c r="B266" s="2"/>
      <c r="C266" s="2"/>
      <c r="D266" s="2"/>
    </row>
    <row r="267" spans="2:4" ht="14" x14ac:dyDescent="0.2">
      <c r="B267" s="2"/>
      <c r="C267" s="2"/>
      <c r="D267" s="2"/>
    </row>
    <row r="268" spans="2:4" ht="14" x14ac:dyDescent="0.2">
      <c r="B268" s="2"/>
      <c r="C268" s="2"/>
      <c r="D268" s="2"/>
    </row>
    <row r="269" spans="2:4" ht="14" x14ac:dyDescent="0.2">
      <c r="B269" s="2"/>
      <c r="C269" s="2"/>
      <c r="D269" s="2"/>
    </row>
    <row r="270" spans="2:4" ht="14" x14ac:dyDescent="0.2">
      <c r="B270" s="2"/>
      <c r="C270" s="2"/>
      <c r="D270" s="2"/>
    </row>
    <row r="271" spans="2:4" ht="14" x14ac:dyDescent="0.2">
      <c r="B271" s="2"/>
      <c r="C271" s="2"/>
      <c r="D271" s="2"/>
    </row>
    <row r="272" spans="2:4" ht="14" x14ac:dyDescent="0.2">
      <c r="B272" s="2"/>
      <c r="C272" s="2"/>
      <c r="D272" s="2"/>
    </row>
    <row r="273" spans="2:4" ht="14" x14ac:dyDescent="0.2">
      <c r="B273" s="2"/>
      <c r="C273" s="2"/>
      <c r="D273" s="2"/>
    </row>
    <row r="274" spans="2:4" ht="14" x14ac:dyDescent="0.2">
      <c r="B274" s="2"/>
      <c r="C274" s="2"/>
      <c r="D274" s="2"/>
    </row>
    <row r="275" spans="2:4" ht="14" x14ac:dyDescent="0.2">
      <c r="B275" s="2"/>
      <c r="C275" s="2"/>
      <c r="D275" s="2"/>
    </row>
    <row r="276" spans="2:4" ht="14" x14ac:dyDescent="0.2">
      <c r="B276" s="2"/>
      <c r="C276" s="2"/>
      <c r="D276" s="2"/>
    </row>
    <row r="277" spans="2:4" ht="14" x14ac:dyDescent="0.2">
      <c r="B277" s="2"/>
      <c r="C277" s="2"/>
      <c r="D277" s="2"/>
    </row>
    <row r="278" spans="2:4" ht="14" x14ac:dyDescent="0.2">
      <c r="B278" s="2"/>
      <c r="C278" s="2"/>
      <c r="D278" s="2"/>
    </row>
    <row r="279" spans="2:4" ht="14" x14ac:dyDescent="0.2">
      <c r="B279" s="2"/>
      <c r="C279" s="2"/>
      <c r="D279" s="2"/>
    </row>
    <row r="280" spans="2:4" ht="14" x14ac:dyDescent="0.2">
      <c r="B280" s="2"/>
      <c r="C280" s="2"/>
      <c r="D280" s="2"/>
    </row>
    <row r="281" spans="2:4" ht="14" x14ac:dyDescent="0.2">
      <c r="B281" s="2"/>
      <c r="C281" s="2"/>
      <c r="D281" s="2"/>
    </row>
    <row r="282" spans="2:4" ht="14" x14ac:dyDescent="0.2">
      <c r="B282" s="2"/>
      <c r="C282" s="2"/>
      <c r="D282" s="2"/>
    </row>
    <row r="283" spans="2:4" ht="14" x14ac:dyDescent="0.2">
      <c r="B283" s="2"/>
      <c r="C283" s="2"/>
      <c r="D283" s="2"/>
    </row>
    <row r="284" spans="2:4" ht="14" x14ac:dyDescent="0.2">
      <c r="B284" s="2"/>
      <c r="C284" s="2"/>
      <c r="D284" s="2"/>
    </row>
    <row r="285" spans="2:4" ht="14" x14ac:dyDescent="0.2">
      <c r="B285" s="2"/>
      <c r="C285" s="2"/>
      <c r="D285" s="2"/>
    </row>
    <row r="286" spans="2:4" ht="14" x14ac:dyDescent="0.2">
      <c r="B286" s="2"/>
      <c r="C286" s="2"/>
      <c r="D286" s="2"/>
    </row>
    <row r="287" spans="2:4" ht="14" x14ac:dyDescent="0.2">
      <c r="B287" s="2"/>
      <c r="C287" s="2"/>
      <c r="D287" s="2"/>
    </row>
    <row r="288" spans="2:4" ht="14" x14ac:dyDescent="0.2">
      <c r="B288" s="2"/>
      <c r="C288" s="2"/>
      <c r="D288" s="2"/>
    </row>
    <row r="289" spans="2:4" ht="14" x14ac:dyDescent="0.2">
      <c r="B289" s="2"/>
      <c r="C289" s="2"/>
      <c r="D289" s="2"/>
    </row>
    <row r="290" spans="2:4" ht="14" x14ac:dyDescent="0.2">
      <c r="B290" s="2"/>
      <c r="C290" s="2"/>
      <c r="D290" s="2"/>
    </row>
    <row r="291" spans="2:4" ht="14" x14ac:dyDescent="0.2">
      <c r="B291" s="2"/>
      <c r="C291" s="2"/>
      <c r="D291" s="2"/>
    </row>
    <row r="292" spans="2:4" ht="14" x14ac:dyDescent="0.2">
      <c r="B292" s="2"/>
      <c r="C292" s="2"/>
      <c r="D292" s="2"/>
    </row>
    <row r="293" spans="2:4" ht="14" x14ac:dyDescent="0.2">
      <c r="B293" s="2"/>
      <c r="C293" s="2"/>
      <c r="D293" s="2"/>
    </row>
    <row r="294" spans="2:4" ht="14" x14ac:dyDescent="0.2">
      <c r="B294" s="2"/>
      <c r="C294" s="2"/>
      <c r="D294" s="2"/>
    </row>
    <row r="295" spans="2:4" ht="14" x14ac:dyDescent="0.2">
      <c r="B295" s="2"/>
      <c r="C295" s="2"/>
      <c r="D295" s="2"/>
    </row>
    <row r="296" spans="2:4" ht="14" x14ac:dyDescent="0.2">
      <c r="B296" s="2"/>
      <c r="C296" s="2"/>
      <c r="D296" s="2"/>
    </row>
    <row r="297" spans="2:4" ht="14" x14ac:dyDescent="0.2">
      <c r="B297" s="2"/>
      <c r="C297" s="2"/>
      <c r="D297" s="2"/>
    </row>
    <row r="298" spans="2:4" ht="14" x14ac:dyDescent="0.2">
      <c r="B298" s="2"/>
      <c r="C298" s="2"/>
      <c r="D298" s="2"/>
    </row>
    <row r="299" spans="2:4" ht="14" x14ac:dyDescent="0.2">
      <c r="B299" s="2"/>
      <c r="C299" s="2"/>
      <c r="D299" s="2"/>
    </row>
    <row r="300" spans="2:4" ht="14" x14ac:dyDescent="0.2">
      <c r="B300" s="2"/>
      <c r="C300" s="2"/>
      <c r="D300" s="2"/>
    </row>
    <row r="301" spans="2:4" ht="14" x14ac:dyDescent="0.2">
      <c r="B301" s="2"/>
      <c r="C301" s="2"/>
      <c r="D301" s="2"/>
    </row>
    <row r="302" spans="2:4" ht="14" x14ac:dyDescent="0.2">
      <c r="B302" s="2"/>
      <c r="C302" s="2"/>
      <c r="D302" s="2"/>
    </row>
    <row r="303" spans="2:4" ht="14" x14ac:dyDescent="0.2">
      <c r="B303" s="2"/>
      <c r="C303" s="2"/>
      <c r="D303" s="2"/>
    </row>
    <row r="304" spans="2:4" ht="14" x14ac:dyDescent="0.2">
      <c r="B304" s="2"/>
      <c r="C304" s="2"/>
      <c r="D304" s="2"/>
    </row>
    <row r="305" spans="2:4" ht="14" x14ac:dyDescent="0.2">
      <c r="B305" s="2"/>
      <c r="C305" s="2"/>
      <c r="D305" s="2"/>
    </row>
    <row r="306" spans="2:4" ht="14" x14ac:dyDescent="0.2">
      <c r="B306" s="2"/>
      <c r="C306" s="2"/>
      <c r="D306" s="2"/>
    </row>
    <row r="307" spans="2:4" ht="14" x14ac:dyDescent="0.2">
      <c r="B307" s="2"/>
      <c r="C307" s="2"/>
      <c r="D307" s="2"/>
    </row>
    <row r="308" spans="2:4" ht="14" x14ac:dyDescent="0.2">
      <c r="B308" s="2"/>
      <c r="C308" s="2"/>
      <c r="D308" s="2"/>
    </row>
    <row r="309" spans="2:4" ht="14" x14ac:dyDescent="0.2">
      <c r="B309" s="2"/>
      <c r="C309" s="2"/>
      <c r="D309" s="2"/>
    </row>
    <row r="310" spans="2:4" ht="14" x14ac:dyDescent="0.2">
      <c r="B310" s="2"/>
      <c r="C310" s="2"/>
      <c r="D310" s="2"/>
    </row>
    <row r="311" spans="2:4" ht="14" x14ac:dyDescent="0.2">
      <c r="B311" s="2"/>
      <c r="C311" s="2"/>
      <c r="D311" s="2"/>
    </row>
    <row r="312" spans="2:4" ht="14" x14ac:dyDescent="0.2">
      <c r="B312" s="2"/>
      <c r="C312" s="2"/>
      <c r="D312" s="2"/>
    </row>
    <row r="313" spans="2:4" ht="14" x14ac:dyDescent="0.2">
      <c r="B313" s="2"/>
      <c r="C313" s="2"/>
      <c r="D313" s="2"/>
    </row>
    <row r="314" spans="2:4" ht="14" x14ac:dyDescent="0.2">
      <c r="B314" s="2"/>
      <c r="C314" s="2"/>
      <c r="D314" s="2"/>
    </row>
    <row r="315" spans="2:4" ht="14" x14ac:dyDescent="0.2">
      <c r="B315" s="2"/>
      <c r="C315" s="2"/>
      <c r="D315" s="2"/>
    </row>
    <row r="316" spans="2:4" ht="14" x14ac:dyDescent="0.2">
      <c r="B316" s="2"/>
      <c r="C316" s="2"/>
      <c r="D316" s="2"/>
    </row>
    <row r="317" spans="2:4" ht="14" x14ac:dyDescent="0.2">
      <c r="B317" s="2"/>
      <c r="C317" s="2"/>
      <c r="D317" s="2"/>
    </row>
    <row r="318" spans="2:4" ht="14" x14ac:dyDescent="0.2">
      <c r="B318" s="2"/>
      <c r="C318" s="2"/>
      <c r="D318" s="2"/>
    </row>
    <row r="319" spans="2:4" ht="14" x14ac:dyDescent="0.2">
      <c r="B319" s="2"/>
      <c r="C319" s="2"/>
      <c r="D319" s="2"/>
    </row>
    <row r="320" spans="2:4" ht="14" x14ac:dyDescent="0.2">
      <c r="B320" s="2"/>
      <c r="C320" s="2"/>
      <c r="D320" s="2"/>
    </row>
    <row r="321" spans="2:4" ht="14" x14ac:dyDescent="0.2">
      <c r="B321" s="2"/>
      <c r="C321" s="2"/>
      <c r="D321" s="2"/>
    </row>
    <row r="322" spans="2:4" ht="14" x14ac:dyDescent="0.2">
      <c r="B322" s="2"/>
      <c r="C322" s="2"/>
      <c r="D322" s="2"/>
    </row>
    <row r="323" spans="2:4" ht="14" x14ac:dyDescent="0.2">
      <c r="B323" s="2"/>
      <c r="C323" s="2"/>
      <c r="D323" s="2"/>
    </row>
    <row r="324" spans="2:4" ht="14" x14ac:dyDescent="0.2">
      <c r="B324" s="2"/>
      <c r="C324" s="2"/>
      <c r="D324" s="2"/>
    </row>
    <row r="325" spans="2:4" ht="14" x14ac:dyDescent="0.2">
      <c r="B325" s="2"/>
      <c r="C325" s="2"/>
      <c r="D325" s="2"/>
    </row>
    <row r="326" spans="2:4" ht="14" x14ac:dyDescent="0.2">
      <c r="B326" s="2"/>
      <c r="C326" s="2"/>
      <c r="D326" s="2"/>
    </row>
    <row r="327" spans="2:4" ht="14" x14ac:dyDescent="0.2">
      <c r="B327" s="2"/>
      <c r="C327" s="2"/>
      <c r="D327" s="2"/>
    </row>
  </sheetData>
  <mergeCells count="2">
    <mergeCell ref="C6:E6"/>
    <mergeCell ref="C7:E7"/>
  </mergeCells>
  <phoneticPr fontId="1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27"/>
  <sheetViews>
    <sheetView showGridLines="0" zoomScaleNormal="100" workbookViewId="0">
      <selection activeCell="I8" sqref="I8:T9"/>
    </sheetView>
  </sheetViews>
  <sheetFormatPr defaultColWidth="9" defaultRowHeight="14" x14ac:dyDescent="0.2"/>
  <cols>
    <col min="1" max="5" width="9" style="2"/>
    <col min="6" max="7" width="8.453125" style="2" customWidth="1"/>
    <col min="8" max="10" width="9" style="43"/>
    <col min="11" max="16384" width="9" style="2"/>
  </cols>
  <sheetData>
    <row r="1" spans="1:20" x14ac:dyDescent="0.2">
      <c r="B1" s="79" t="s">
        <v>53</v>
      </c>
      <c r="C1" s="79"/>
      <c r="D1" s="79"/>
    </row>
    <row r="2" spans="1:20" x14ac:dyDescent="0.2">
      <c r="B2" s="3" t="s">
        <v>51</v>
      </c>
      <c r="C2" s="3" t="s">
        <v>13</v>
      </c>
      <c r="D2" s="3" t="s">
        <v>13</v>
      </c>
    </row>
    <row r="3" spans="1:20" x14ac:dyDescent="0.25">
      <c r="A3" s="1">
        <v>1</v>
      </c>
      <c r="B3" s="2">
        <v>129.09</v>
      </c>
      <c r="C3" s="2">
        <v>2.69</v>
      </c>
      <c r="D3" s="2">
        <v>2.88</v>
      </c>
      <c r="E3"/>
      <c r="F3"/>
    </row>
    <row r="4" spans="1:20" x14ac:dyDescent="0.25">
      <c r="A4" s="1">
        <v>2</v>
      </c>
      <c r="B4" s="2">
        <v>188.29</v>
      </c>
      <c r="C4" s="2">
        <v>2.41</v>
      </c>
      <c r="D4" s="2">
        <v>3.6</v>
      </c>
      <c r="E4"/>
      <c r="F4"/>
    </row>
    <row r="5" spans="1:20" x14ac:dyDescent="0.25">
      <c r="A5" s="1">
        <v>3</v>
      </c>
      <c r="B5" s="2">
        <v>129.44</v>
      </c>
      <c r="C5" s="2">
        <v>2.69</v>
      </c>
      <c r="D5" s="2">
        <v>2.91</v>
      </c>
      <c r="E5"/>
      <c r="F5"/>
    </row>
    <row r="6" spans="1:20" x14ac:dyDescent="0.25">
      <c r="A6" s="1">
        <v>4</v>
      </c>
      <c r="B6" s="2">
        <v>128.96</v>
      </c>
      <c r="C6" s="2">
        <v>2.12</v>
      </c>
      <c r="D6" s="2">
        <v>2.61</v>
      </c>
      <c r="E6"/>
      <c r="F6"/>
    </row>
    <row r="7" spans="1:20" x14ac:dyDescent="0.25">
      <c r="A7" s="1">
        <v>5</v>
      </c>
      <c r="B7" s="2">
        <v>128.80000000000001</v>
      </c>
      <c r="C7" s="2">
        <v>2.79</v>
      </c>
      <c r="D7" s="2">
        <v>2.2400000000000002</v>
      </c>
      <c r="E7"/>
      <c r="F7"/>
      <c r="H7" s="54" t="s">
        <v>52</v>
      </c>
      <c r="I7" s="33">
        <v>-90</v>
      </c>
      <c r="J7" s="33">
        <v>-75</v>
      </c>
      <c r="K7" s="33">
        <v>-60</v>
      </c>
      <c r="L7" s="33">
        <v>-45</v>
      </c>
      <c r="M7" s="33">
        <v>-30</v>
      </c>
      <c r="N7" s="33">
        <v>-15</v>
      </c>
      <c r="O7" s="33">
        <v>0</v>
      </c>
      <c r="P7" s="33">
        <v>15</v>
      </c>
      <c r="Q7" s="33">
        <v>30</v>
      </c>
      <c r="R7" s="33">
        <v>45</v>
      </c>
      <c r="S7" s="33">
        <v>60</v>
      </c>
      <c r="T7" s="33">
        <v>75</v>
      </c>
    </row>
    <row r="8" spans="1:20" x14ac:dyDescent="0.25">
      <c r="A8" s="1">
        <v>6</v>
      </c>
      <c r="B8" s="2">
        <v>129.28</v>
      </c>
      <c r="C8" s="2">
        <v>2.87</v>
      </c>
      <c r="D8" s="2">
        <v>2.96</v>
      </c>
      <c r="E8"/>
      <c r="F8"/>
      <c r="H8" s="31" t="str">
        <f>$B$2</f>
        <v>CD</v>
      </c>
      <c r="I8" s="38">
        <v>143.108</v>
      </c>
      <c r="J8" s="38">
        <v>129.36599999999999</v>
      </c>
      <c r="K8" s="38">
        <v>188.07560000000001</v>
      </c>
      <c r="L8" s="38">
        <v>136.92519999999999</v>
      </c>
      <c r="M8" s="38">
        <v>166.9864</v>
      </c>
      <c r="N8" s="38">
        <v>145.10119999999998</v>
      </c>
      <c r="O8" s="38">
        <v>128.8492</v>
      </c>
      <c r="P8" s="38">
        <v>130.90879999999999</v>
      </c>
      <c r="Q8" s="38">
        <v>121.39560000000002</v>
      </c>
      <c r="R8" s="38">
        <v>126.01600000000001</v>
      </c>
      <c r="S8" s="38">
        <v>124.964</v>
      </c>
      <c r="T8" s="38">
        <v>141.32759999999999</v>
      </c>
    </row>
    <row r="9" spans="1:20" x14ac:dyDescent="0.25">
      <c r="A9" s="1">
        <v>7</v>
      </c>
      <c r="B9" s="2">
        <v>129.03</v>
      </c>
      <c r="C9" s="2">
        <v>3.29</v>
      </c>
      <c r="D9" s="2">
        <v>3.07</v>
      </c>
      <c r="E9"/>
      <c r="F9"/>
      <c r="H9" s="30" t="str">
        <f>$C$2</f>
        <v>LER</v>
      </c>
      <c r="I9" s="58">
        <v>2.8982000000000001</v>
      </c>
      <c r="J9" s="38">
        <v>2.7729999999999997</v>
      </c>
      <c r="K9" s="38">
        <v>2.9638</v>
      </c>
      <c r="L9" s="38">
        <v>4.5002000000000013</v>
      </c>
      <c r="M9" s="38">
        <v>3.1032000000000002</v>
      </c>
      <c r="N9" s="38">
        <v>7.4063999999999979</v>
      </c>
      <c r="O9" s="58">
        <v>3.7716000000000003</v>
      </c>
      <c r="P9" s="38">
        <v>3.7735999999999992</v>
      </c>
      <c r="Q9" s="38">
        <v>6.4343999999999983</v>
      </c>
      <c r="R9" s="38">
        <v>4.5049999999999999</v>
      </c>
      <c r="S9" s="38">
        <v>4.9097999999999997</v>
      </c>
      <c r="T9" s="38">
        <v>4.3584000000000005</v>
      </c>
    </row>
    <row r="10" spans="1:20" x14ac:dyDescent="0.25">
      <c r="A10" s="1">
        <v>8</v>
      </c>
      <c r="B10" s="2">
        <v>128.9</v>
      </c>
      <c r="C10" s="2">
        <v>2.64</v>
      </c>
      <c r="D10" s="2">
        <v>3.38</v>
      </c>
      <c r="E10"/>
      <c r="F10"/>
    </row>
    <row r="11" spans="1:20" x14ac:dyDescent="0.25">
      <c r="A11" s="1">
        <v>9</v>
      </c>
      <c r="B11" s="2">
        <v>187.73</v>
      </c>
      <c r="C11" s="2">
        <v>2.58</v>
      </c>
      <c r="D11" s="2">
        <v>2.82</v>
      </c>
      <c r="E11"/>
      <c r="F11"/>
    </row>
    <row r="12" spans="1:20" x14ac:dyDescent="0.25">
      <c r="A12" s="1">
        <v>10</v>
      </c>
      <c r="B12" s="2">
        <v>129.22</v>
      </c>
      <c r="C12" s="2">
        <v>3.11</v>
      </c>
      <c r="D12" s="2">
        <v>3.16</v>
      </c>
      <c r="E12"/>
      <c r="F12"/>
      <c r="H12" s="49"/>
      <c r="I12" s="49"/>
      <c r="J12" s="49"/>
    </row>
    <row r="13" spans="1:20" x14ac:dyDescent="0.25">
      <c r="A13" s="1">
        <v>11</v>
      </c>
      <c r="B13" s="2">
        <v>128.53</v>
      </c>
      <c r="C13" s="2">
        <v>2.97</v>
      </c>
      <c r="D13" s="2">
        <v>2.8</v>
      </c>
      <c r="E13"/>
      <c r="F13"/>
      <c r="H13" s="42"/>
      <c r="I13" s="42"/>
      <c r="J13" s="42"/>
    </row>
    <row r="14" spans="1:20" x14ac:dyDescent="0.25">
      <c r="A14" s="1">
        <v>12</v>
      </c>
      <c r="B14" s="2">
        <v>187.76</v>
      </c>
      <c r="C14" s="2">
        <v>4.25</v>
      </c>
      <c r="D14" s="2">
        <v>3.77</v>
      </c>
      <c r="E14"/>
      <c r="F14"/>
      <c r="H14" s="42"/>
      <c r="I14" s="42"/>
      <c r="J14" s="42"/>
    </row>
    <row r="15" spans="1:20" x14ac:dyDescent="0.25">
      <c r="A15" s="1">
        <v>13</v>
      </c>
      <c r="B15" s="2">
        <v>129.1</v>
      </c>
      <c r="C15" s="2">
        <v>2.64</v>
      </c>
      <c r="D15" s="2">
        <v>3.54</v>
      </c>
      <c r="E15"/>
      <c r="F15"/>
      <c r="H15" s="42"/>
      <c r="I15" s="42"/>
      <c r="J15" s="42"/>
    </row>
    <row r="16" spans="1:20" x14ac:dyDescent="0.25">
      <c r="A16" s="1">
        <v>14</v>
      </c>
      <c r="B16" s="2">
        <v>188.12</v>
      </c>
      <c r="C16" s="2">
        <v>4.1100000000000003</v>
      </c>
      <c r="D16" s="2">
        <v>2.2999999999999998</v>
      </c>
      <c r="E16"/>
      <c r="F16"/>
      <c r="H16" s="42"/>
      <c r="I16" s="42"/>
      <c r="J16" s="42"/>
    </row>
    <row r="17" spans="1:10" x14ac:dyDescent="0.25">
      <c r="A17" s="1">
        <v>15</v>
      </c>
      <c r="B17" s="2">
        <v>188.2</v>
      </c>
      <c r="C17" s="2">
        <v>2.7</v>
      </c>
      <c r="D17" s="2">
        <v>2.98</v>
      </c>
      <c r="E17"/>
      <c r="F17"/>
      <c r="H17" s="42"/>
      <c r="I17" s="42"/>
      <c r="J17" s="42"/>
    </row>
    <row r="18" spans="1:10" x14ac:dyDescent="0.25">
      <c r="A18" s="1">
        <v>16</v>
      </c>
      <c r="B18" s="2">
        <v>188.38</v>
      </c>
      <c r="C18" s="2">
        <v>2.4900000000000002</v>
      </c>
      <c r="D18" s="2">
        <v>3.09</v>
      </c>
      <c r="E18"/>
      <c r="F18"/>
      <c r="H18" s="42"/>
      <c r="I18" s="42"/>
      <c r="J18" s="42"/>
    </row>
    <row r="19" spans="1:10" x14ac:dyDescent="0.25">
      <c r="A19" s="1">
        <v>17</v>
      </c>
      <c r="B19" s="2">
        <v>128.62</v>
      </c>
      <c r="C19" s="2">
        <v>2.31</v>
      </c>
      <c r="D19" s="2">
        <v>2.96</v>
      </c>
      <c r="E19"/>
      <c r="F19"/>
      <c r="H19" s="42"/>
      <c r="I19" s="42"/>
      <c r="J19" s="42"/>
    </row>
    <row r="20" spans="1:10" x14ac:dyDescent="0.25">
      <c r="A20" s="1">
        <v>18</v>
      </c>
      <c r="B20" s="2">
        <v>129.05000000000001</v>
      </c>
      <c r="C20" s="2">
        <v>2.8</v>
      </c>
      <c r="D20" s="2">
        <v>3.27</v>
      </c>
      <c r="E20"/>
      <c r="F20"/>
      <c r="I20" s="42"/>
      <c r="J20" s="42"/>
    </row>
    <row r="21" spans="1:10" x14ac:dyDescent="0.25">
      <c r="A21" s="1">
        <v>19</v>
      </c>
      <c r="B21" s="2">
        <v>128.85</v>
      </c>
      <c r="C21" s="2">
        <v>2.64</v>
      </c>
      <c r="D21" s="2">
        <v>2.66</v>
      </c>
      <c r="E21"/>
      <c r="F21"/>
      <c r="H21" s="42"/>
      <c r="I21" s="42"/>
      <c r="J21" s="42"/>
    </row>
    <row r="22" spans="1:10" x14ac:dyDescent="0.25">
      <c r="A22" s="1">
        <v>20</v>
      </c>
      <c r="B22" s="2">
        <v>128.56</v>
      </c>
      <c r="C22" s="2">
        <v>3.36</v>
      </c>
      <c r="D22" s="2">
        <v>2.4900000000000002</v>
      </c>
      <c r="E22"/>
      <c r="F22"/>
      <c r="H22" s="42"/>
      <c r="I22" s="42"/>
      <c r="J22" s="42"/>
    </row>
    <row r="23" spans="1:10" x14ac:dyDescent="0.25">
      <c r="A23" s="1">
        <v>21</v>
      </c>
      <c r="B23" s="2">
        <v>129.12</v>
      </c>
      <c r="C23" s="2">
        <v>2.9</v>
      </c>
      <c r="D23" s="2">
        <v>3.91</v>
      </c>
      <c r="E23"/>
      <c r="F23"/>
      <c r="H23" s="42"/>
      <c r="I23" s="42"/>
      <c r="J23" s="42"/>
    </row>
    <row r="24" spans="1:10" x14ac:dyDescent="0.25">
      <c r="A24" s="1">
        <v>22</v>
      </c>
      <c r="B24" s="2">
        <v>129.13999999999999</v>
      </c>
      <c r="C24" s="2">
        <v>2.34</v>
      </c>
      <c r="D24" s="2">
        <v>2.8</v>
      </c>
      <c r="E24"/>
      <c r="F24"/>
      <c r="H24" s="42"/>
      <c r="I24" s="42"/>
      <c r="J24" s="42"/>
    </row>
    <row r="25" spans="1:10" x14ac:dyDescent="0.25">
      <c r="A25" s="1">
        <v>23</v>
      </c>
      <c r="B25" s="2">
        <v>128.15</v>
      </c>
      <c r="C25" s="2">
        <v>1.93</v>
      </c>
      <c r="D25" s="2">
        <v>2.82</v>
      </c>
      <c r="E25"/>
      <c r="F25"/>
      <c r="H25" s="42"/>
      <c r="I25" s="42"/>
      <c r="J25" s="42"/>
    </row>
    <row r="26" spans="1:10" x14ac:dyDescent="0.25">
      <c r="A26" s="1">
        <v>24</v>
      </c>
      <c r="B26" s="2">
        <v>128.87</v>
      </c>
      <c r="C26" s="2">
        <v>3.08</v>
      </c>
      <c r="D26" s="2">
        <v>2.89</v>
      </c>
      <c r="E26"/>
      <c r="F26"/>
      <c r="H26" s="42"/>
      <c r="I26" s="42"/>
      <c r="J26" s="42"/>
    </row>
    <row r="27" spans="1:10" x14ac:dyDescent="0.25">
      <c r="A27" s="1">
        <v>25</v>
      </c>
      <c r="B27" s="2">
        <v>128.51</v>
      </c>
      <c r="C27" s="2">
        <v>2.77</v>
      </c>
      <c r="D27" s="2">
        <v>2.52</v>
      </c>
      <c r="E27"/>
      <c r="F27"/>
      <c r="H27" s="42"/>
      <c r="I27" s="42"/>
      <c r="J27" s="42"/>
    </row>
    <row r="28" spans="1:10" x14ac:dyDescent="0.25">
      <c r="A28" s="1">
        <v>26</v>
      </c>
      <c r="B28" s="2">
        <v>129.79</v>
      </c>
      <c r="C28" s="2">
        <v>3.42</v>
      </c>
      <c r="D28" s="2">
        <v>2.8</v>
      </c>
      <c r="E28"/>
      <c r="F28"/>
      <c r="H28" s="42"/>
      <c r="I28" s="42"/>
      <c r="J28" s="42"/>
    </row>
    <row r="29" spans="1:10" x14ac:dyDescent="0.25">
      <c r="A29" s="1">
        <v>27</v>
      </c>
      <c r="B29" s="2">
        <v>129.07</v>
      </c>
      <c r="C29" s="2">
        <v>2.69</v>
      </c>
      <c r="D29" s="2">
        <v>3.34</v>
      </c>
      <c r="E29"/>
      <c r="F29"/>
      <c r="H29" s="42"/>
      <c r="I29" s="42"/>
      <c r="J29" s="42"/>
    </row>
    <row r="30" spans="1:10" x14ac:dyDescent="0.25">
      <c r="A30" s="1">
        <v>28</v>
      </c>
      <c r="B30" s="2">
        <v>129.47</v>
      </c>
      <c r="C30" s="2">
        <v>2.3199999999999998</v>
      </c>
      <c r="D30" s="2">
        <v>2.9</v>
      </c>
      <c r="E30"/>
      <c r="F30"/>
      <c r="H30" s="42"/>
      <c r="I30" s="42"/>
      <c r="J30" s="42"/>
    </row>
    <row r="31" spans="1:10" x14ac:dyDescent="0.25">
      <c r="A31" s="1">
        <v>29</v>
      </c>
      <c r="B31" s="2">
        <v>129.76</v>
      </c>
      <c r="C31" s="2">
        <v>3.43</v>
      </c>
      <c r="D31" s="2">
        <v>2.92</v>
      </c>
      <c r="E31"/>
      <c r="F31"/>
      <c r="H31" s="42"/>
      <c r="I31" s="42"/>
      <c r="J31" s="42"/>
    </row>
    <row r="32" spans="1:10" x14ac:dyDescent="0.25">
      <c r="A32" s="1">
        <v>30</v>
      </c>
      <c r="B32" s="2">
        <v>129.16</v>
      </c>
      <c r="C32" s="2">
        <v>2.58</v>
      </c>
      <c r="D32" s="2">
        <v>3.41</v>
      </c>
      <c r="E32"/>
      <c r="F32"/>
      <c r="H32" s="42"/>
      <c r="I32" s="42"/>
      <c r="J32" s="42"/>
    </row>
    <row r="33" spans="1:10" x14ac:dyDescent="0.25">
      <c r="A33" s="1">
        <v>31</v>
      </c>
      <c r="B33" s="2">
        <v>128.86000000000001</v>
      </c>
      <c r="C33" s="2">
        <v>3.09</v>
      </c>
      <c r="D33" s="2">
        <v>2.91</v>
      </c>
      <c r="E33"/>
      <c r="F33"/>
      <c r="H33" s="42"/>
      <c r="I33" s="42"/>
      <c r="J33" s="42"/>
    </row>
    <row r="34" spans="1:10" x14ac:dyDescent="0.25">
      <c r="A34" s="1">
        <v>32</v>
      </c>
      <c r="B34" s="2">
        <v>129.06</v>
      </c>
      <c r="C34" s="2">
        <v>2.73</v>
      </c>
      <c r="D34" s="2">
        <v>2.85</v>
      </c>
      <c r="E34"/>
      <c r="F34"/>
      <c r="H34" s="42"/>
      <c r="I34" s="42"/>
      <c r="J34" s="42"/>
    </row>
    <row r="35" spans="1:10" x14ac:dyDescent="0.25">
      <c r="A35" s="1">
        <v>33</v>
      </c>
      <c r="B35" s="2">
        <v>129.33000000000001</v>
      </c>
      <c r="C35" s="2">
        <v>2.8</v>
      </c>
      <c r="D35" s="2">
        <v>3.36</v>
      </c>
      <c r="E35"/>
      <c r="F35"/>
      <c r="H35" s="42"/>
      <c r="I35" s="42"/>
      <c r="J35" s="42"/>
    </row>
    <row r="36" spans="1:10" x14ac:dyDescent="0.25">
      <c r="A36" s="1">
        <v>34</v>
      </c>
      <c r="B36" s="2">
        <v>129.66</v>
      </c>
      <c r="C36" s="2">
        <v>2.35</v>
      </c>
      <c r="D36" s="2">
        <v>2.65</v>
      </c>
      <c r="E36"/>
      <c r="F36"/>
      <c r="H36" s="42"/>
      <c r="I36" s="42"/>
      <c r="J36" s="42"/>
    </row>
    <row r="37" spans="1:10" x14ac:dyDescent="0.25">
      <c r="A37" s="1">
        <v>35</v>
      </c>
      <c r="B37" s="2">
        <v>129.1</v>
      </c>
      <c r="C37" s="2">
        <v>2.4300000000000002</v>
      </c>
      <c r="D37" s="2">
        <v>3.11</v>
      </c>
      <c r="E37"/>
      <c r="F37"/>
      <c r="H37" s="42"/>
      <c r="I37" s="42"/>
      <c r="J37" s="42"/>
    </row>
    <row r="38" spans="1:10" x14ac:dyDescent="0.25">
      <c r="A38" s="1">
        <v>36</v>
      </c>
      <c r="B38" s="2">
        <v>129.43</v>
      </c>
      <c r="C38" s="2">
        <v>2.59</v>
      </c>
      <c r="D38" s="2">
        <v>2.96</v>
      </c>
      <c r="E38"/>
      <c r="F38"/>
      <c r="H38" s="42"/>
      <c r="I38" s="50"/>
      <c r="J38" s="50"/>
    </row>
    <row r="39" spans="1:10" x14ac:dyDescent="0.25">
      <c r="A39" s="1">
        <v>37</v>
      </c>
      <c r="B39" s="2">
        <v>129.41</v>
      </c>
      <c r="C39" s="2">
        <v>2.64</v>
      </c>
      <c r="D39" s="2">
        <v>3.18</v>
      </c>
      <c r="E39"/>
      <c r="F39"/>
      <c r="H39" s="50"/>
      <c r="I39" s="50"/>
      <c r="J39" s="50"/>
    </row>
    <row r="40" spans="1:10" x14ac:dyDescent="0.25">
      <c r="A40" s="1">
        <v>38</v>
      </c>
      <c r="B40" s="2">
        <v>129.52000000000001</v>
      </c>
      <c r="C40" s="2">
        <v>2.81</v>
      </c>
      <c r="D40" s="2">
        <v>2.23</v>
      </c>
      <c r="E40"/>
      <c r="F40"/>
      <c r="H40" s="50"/>
      <c r="I40" s="50"/>
      <c r="J40" s="50"/>
    </row>
    <row r="41" spans="1:10" x14ac:dyDescent="0.25">
      <c r="A41" s="1">
        <v>39</v>
      </c>
      <c r="B41" s="2">
        <v>129.03</v>
      </c>
      <c r="C41" s="2">
        <v>3.03</v>
      </c>
      <c r="D41" s="2">
        <v>2.4500000000000002</v>
      </c>
      <c r="E41"/>
      <c r="F41"/>
      <c r="H41" s="50"/>
      <c r="I41" s="50"/>
      <c r="J41" s="50"/>
    </row>
    <row r="42" spans="1:10" x14ac:dyDescent="0.25">
      <c r="A42" s="1">
        <v>40</v>
      </c>
      <c r="B42" s="2">
        <v>129.5</v>
      </c>
      <c r="C42" s="2">
        <v>2.72</v>
      </c>
      <c r="D42" s="2">
        <v>2.59</v>
      </c>
      <c r="E42"/>
      <c r="F42"/>
      <c r="H42" s="50"/>
      <c r="I42" s="50"/>
      <c r="J42" s="50"/>
    </row>
    <row r="43" spans="1:10" x14ac:dyDescent="0.25">
      <c r="A43" s="1">
        <v>41</v>
      </c>
      <c r="B43" s="2">
        <v>129.27000000000001</v>
      </c>
      <c r="C43" s="2">
        <v>2.77</v>
      </c>
      <c r="D43" s="2">
        <v>2.7</v>
      </c>
      <c r="E43"/>
      <c r="F43"/>
      <c r="H43" s="50"/>
    </row>
    <row r="44" spans="1:10" x14ac:dyDescent="0.25">
      <c r="A44" s="1">
        <v>42</v>
      </c>
      <c r="B44" s="2">
        <v>129.4</v>
      </c>
      <c r="C44" s="2">
        <v>2.36</v>
      </c>
      <c r="D44" s="2">
        <v>2.88</v>
      </c>
      <c r="E44"/>
      <c r="F44"/>
      <c r="I44" s="49"/>
      <c r="J44" s="49"/>
    </row>
    <row r="45" spans="1:10" x14ac:dyDescent="0.25">
      <c r="A45" s="1">
        <v>43</v>
      </c>
      <c r="B45" s="2">
        <v>129.29</v>
      </c>
      <c r="C45" s="2">
        <v>2.3199999999999998</v>
      </c>
      <c r="D45" s="2">
        <v>2.0099999999999998</v>
      </c>
      <c r="E45"/>
      <c r="F45"/>
      <c r="H45" s="49"/>
      <c r="I45" s="42"/>
      <c r="J45" s="42"/>
    </row>
    <row r="46" spans="1:10" x14ac:dyDescent="0.25">
      <c r="A46" s="1">
        <v>44</v>
      </c>
      <c r="B46" s="2">
        <v>129.63999999999999</v>
      </c>
      <c r="C46" s="2">
        <v>3.44</v>
      </c>
      <c r="D46" s="2">
        <v>2.74</v>
      </c>
      <c r="E46"/>
      <c r="F46"/>
      <c r="H46" s="42"/>
      <c r="I46" s="42"/>
      <c r="J46" s="42"/>
    </row>
    <row r="47" spans="1:10" x14ac:dyDescent="0.25">
      <c r="A47" s="1">
        <v>45</v>
      </c>
      <c r="B47" s="2">
        <v>129.44999999999999</v>
      </c>
      <c r="C47" s="2">
        <v>3.59</v>
      </c>
      <c r="D47" s="2">
        <v>2.62</v>
      </c>
      <c r="E47"/>
      <c r="F47"/>
      <c r="H47" s="42"/>
      <c r="I47" s="42"/>
      <c r="J47" s="42"/>
    </row>
    <row r="48" spans="1:10" x14ac:dyDescent="0.25">
      <c r="A48" s="1">
        <v>46</v>
      </c>
      <c r="B48" s="2">
        <v>129.49</v>
      </c>
      <c r="C48" s="2">
        <v>3.09</v>
      </c>
      <c r="D48" s="2">
        <v>2.1800000000000002</v>
      </c>
      <c r="E48"/>
      <c r="F48"/>
      <c r="H48" s="42"/>
      <c r="I48" s="42"/>
      <c r="J48" s="42"/>
    </row>
    <row r="49" spans="1:10" x14ac:dyDescent="0.25">
      <c r="A49" s="1">
        <v>47</v>
      </c>
      <c r="B49" s="2">
        <v>129.47999999999999</v>
      </c>
      <c r="C49" s="2">
        <v>2.25</v>
      </c>
      <c r="D49" s="2">
        <v>2.59</v>
      </c>
      <c r="E49"/>
      <c r="F49"/>
      <c r="H49" s="42"/>
      <c r="I49" s="42"/>
      <c r="J49" s="42"/>
    </row>
    <row r="50" spans="1:10" x14ac:dyDescent="0.25">
      <c r="A50" s="1">
        <v>48</v>
      </c>
      <c r="B50" s="2">
        <v>129.46</v>
      </c>
      <c r="C50" s="2">
        <v>2.85</v>
      </c>
      <c r="D50" s="2">
        <v>2.48</v>
      </c>
      <c r="E50"/>
      <c r="F50"/>
      <c r="H50" s="42"/>
      <c r="I50" s="42"/>
      <c r="J50" s="42"/>
    </row>
    <row r="51" spans="1:10" x14ac:dyDescent="0.25">
      <c r="A51" s="1">
        <v>49</v>
      </c>
      <c r="B51" s="2">
        <v>129.15</v>
      </c>
      <c r="C51" s="2">
        <v>2.6</v>
      </c>
      <c r="D51" s="2">
        <v>2.62</v>
      </c>
      <c r="E51"/>
      <c r="F51"/>
      <c r="H51" s="42"/>
      <c r="I51" s="42"/>
      <c r="J51" s="42"/>
    </row>
    <row r="52" spans="1:10" x14ac:dyDescent="0.25">
      <c r="A52" s="1">
        <v>50</v>
      </c>
      <c r="B52" s="2">
        <v>129.37</v>
      </c>
      <c r="C52" s="2">
        <v>2.4300000000000002</v>
      </c>
      <c r="D52" s="2">
        <v>2.84</v>
      </c>
      <c r="E52"/>
      <c r="F52"/>
      <c r="H52" s="42"/>
      <c r="I52" s="42"/>
      <c r="J52" s="42"/>
    </row>
    <row r="53" spans="1:10" x14ac:dyDescent="0.25">
      <c r="A53" s="1">
        <v>51</v>
      </c>
      <c r="B53" s="2">
        <v>188.33</v>
      </c>
      <c r="C53" s="2">
        <v>2.65</v>
      </c>
      <c r="D53" s="2">
        <v>2.91</v>
      </c>
      <c r="E53"/>
      <c r="F53"/>
      <c r="H53" s="42"/>
      <c r="I53" s="42"/>
      <c r="J53" s="42"/>
    </row>
    <row r="54" spans="1:10" x14ac:dyDescent="0.25">
      <c r="A54" s="1">
        <v>52</v>
      </c>
      <c r="B54" s="2">
        <v>187.97</v>
      </c>
      <c r="C54" s="2">
        <v>2.27</v>
      </c>
      <c r="D54" s="2">
        <v>3.49</v>
      </c>
      <c r="E54"/>
      <c r="F54"/>
      <c r="H54" s="42"/>
      <c r="I54" s="42"/>
      <c r="J54" s="42"/>
    </row>
    <row r="55" spans="1:10" x14ac:dyDescent="0.25">
      <c r="A55" s="1">
        <v>53</v>
      </c>
      <c r="B55" s="2">
        <v>187.93</v>
      </c>
      <c r="C55" s="2">
        <v>2.78</v>
      </c>
      <c r="D55" s="2">
        <v>2.83</v>
      </c>
      <c r="E55"/>
      <c r="F55"/>
      <c r="H55" s="42"/>
      <c r="I55" s="42"/>
      <c r="J55" s="42"/>
    </row>
    <row r="56" spans="1:10" x14ac:dyDescent="0.25">
      <c r="A56" s="1">
        <v>54</v>
      </c>
      <c r="B56" s="2">
        <v>188.32</v>
      </c>
      <c r="C56" s="2">
        <v>2.98</v>
      </c>
      <c r="D56" s="2">
        <v>3.08</v>
      </c>
      <c r="E56"/>
      <c r="F56"/>
      <c r="H56" s="42"/>
      <c r="I56" s="42"/>
      <c r="J56" s="42"/>
    </row>
    <row r="57" spans="1:10" x14ac:dyDescent="0.25">
      <c r="A57" s="1">
        <v>55</v>
      </c>
      <c r="B57" s="2">
        <v>187.83</v>
      </c>
      <c r="C57" s="2">
        <v>2.62</v>
      </c>
      <c r="D57" s="2">
        <v>2.5499999999999998</v>
      </c>
      <c r="E57"/>
      <c r="F57"/>
      <c r="H57" s="42"/>
      <c r="I57" s="42"/>
      <c r="J57" s="42"/>
    </row>
    <row r="58" spans="1:10" x14ac:dyDescent="0.25">
      <c r="A58" s="1">
        <v>56</v>
      </c>
      <c r="B58" s="2">
        <v>187.98</v>
      </c>
      <c r="C58" s="2">
        <v>2.63</v>
      </c>
      <c r="D58" s="2">
        <v>3.56</v>
      </c>
      <c r="E58"/>
      <c r="F58"/>
      <c r="H58" s="42"/>
      <c r="I58" s="42"/>
      <c r="J58" s="42"/>
    </row>
    <row r="59" spans="1:10" x14ac:dyDescent="0.25">
      <c r="A59" s="1">
        <v>57</v>
      </c>
      <c r="B59" s="2">
        <v>188.29</v>
      </c>
      <c r="C59" s="2">
        <v>2.4700000000000002</v>
      </c>
      <c r="D59" s="2">
        <v>3.15</v>
      </c>
      <c r="E59"/>
      <c r="F59"/>
      <c r="H59" s="42"/>
      <c r="I59" s="42"/>
      <c r="J59" s="42"/>
    </row>
    <row r="60" spans="1:10" x14ac:dyDescent="0.25">
      <c r="A60" s="1">
        <v>58</v>
      </c>
      <c r="B60" s="2">
        <v>188.31</v>
      </c>
      <c r="C60" s="2">
        <v>3.06</v>
      </c>
      <c r="D60" s="2">
        <v>3.21</v>
      </c>
      <c r="E60"/>
      <c r="F60"/>
      <c r="H60" s="42"/>
      <c r="I60" s="42"/>
      <c r="J60" s="42"/>
    </row>
    <row r="61" spans="1:10" x14ac:dyDescent="0.25">
      <c r="A61" s="1">
        <v>59</v>
      </c>
      <c r="B61" s="2">
        <v>188.6</v>
      </c>
      <c r="C61" s="2">
        <v>2.6</v>
      </c>
      <c r="D61" s="2">
        <v>3.17</v>
      </c>
      <c r="E61"/>
      <c r="F61"/>
      <c r="H61" s="42"/>
      <c r="I61" s="42"/>
      <c r="J61" s="42"/>
    </row>
    <row r="62" spans="1:10" x14ac:dyDescent="0.25">
      <c r="A62" s="1">
        <v>60</v>
      </c>
      <c r="B62" s="2">
        <v>187.69</v>
      </c>
      <c r="C62" s="2">
        <v>3.14</v>
      </c>
      <c r="D62" s="2">
        <v>2.16</v>
      </c>
      <c r="E62"/>
      <c r="F62"/>
      <c r="H62" s="42"/>
      <c r="I62" s="42"/>
      <c r="J62" s="42"/>
    </row>
    <row r="63" spans="1:10" x14ac:dyDescent="0.25">
      <c r="A63" s="1">
        <v>61</v>
      </c>
      <c r="B63" s="2">
        <v>188.13</v>
      </c>
      <c r="C63" s="2">
        <v>4.57</v>
      </c>
      <c r="D63" s="2">
        <v>3.21</v>
      </c>
      <c r="E63"/>
      <c r="F63"/>
      <c r="H63" s="42"/>
      <c r="I63" s="42"/>
      <c r="J63" s="42"/>
    </row>
    <row r="64" spans="1:10" x14ac:dyDescent="0.25">
      <c r="A64" s="1">
        <v>62</v>
      </c>
      <c r="B64" s="2">
        <v>187.94</v>
      </c>
      <c r="C64" s="2">
        <v>2.0499999999999998</v>
      </c>
      <c r="D64" s="2">
        <v>2.4</v>
      </c>
      <c r="E64"/>
      <c r="F64"/>
      <c r="H64" s="42"/>
      <c r="I64" s="42"/>
      <c r="J64" s="42"/>
    </row>
    <row r="65" spans="1:10" x14ac:dyDescent="0.25">
      <c r="A65" s="1">
        <v>63</v>
      </c>
      <c r="B65" s="2">
        <v>188.06</v>
      </c>
      <c r="C65" s="2">
        <v>1.89</v>
      </c>
      <c r="D65" s="2">
        <v>3.25</v>
      </c>
      <c r="E65"/>
      <c r="F65"/>
      <c r="H65" s="42"/>
      <c r="I65" s="42"/>
      <c r="J65" s="42"/>
    </row>
    <row r="66" spans="1:10" x14ac:dyDescent="0.25">
      <c r="A66" s="1">
        <v>64</v>
      </c>
      <c r="B66" s="2">
        <v>188.36</v>
      </c>
      <c r="C66" s="2">
        <v>2.6</v>
      </c>
      <c r="D66" s="2">
        <v>2.83</v>
      </c>
      <c r="E66"/>
      <c r="F66"/>
      <c r="H66" s="42"/>
      <c r="I66" s="42"/>
      <c r="J66" s="42"/>
    </row>
    <row r="67" spans="1:10" x14ac:dyDescent="0.25">
      <c r="A67" s="1">
        <v>65</v>
      </c>
      <c r="B67" s="2">
        <v>187.9</v>
      </c>
      <c r="C67" s="2">
        <v>3.33</v>
      </c>
      <c r="D67" s="2">
        <v>2.72</v>
      </c>
      <c r="E67"/>
      <c r="F67"/>
      <c r="H67" s="42"/>
      <c r="I67" s="42"/>
      <c r="J67" s="42"/>
    </row>
    <row r="68" spans="1:10" x14ac:dyDescent="0.25">
      <c r="A68" s="1">
        <v>66</v>
      </c>
      <c r="B68" s="2">
        <v>187.25</v>
      </c>
      <c r="C68" s="2">
        <v>2.5299999999999998</v>
      </c>
      <c r="D68" s="2">
        <v>3.35</v>
      </c>
      <c r="E68"/>
      <c r="F68"/>
      <c r="H68" s="42"/>
      <c r="I68" s="42"/>
      <c r="J68" s="42"/>
    </row>
    <row r="69" spans="1:10" x14ac:dyDescent="0.25">
      <c r="A69" s="1">
        <v>67</v>
      </c>
      <c r="B69" s="2">
        <v>188.26</v>
      </c>
      <c r="C69" s="2">
        <v>3.13</v>
      </c>
      <c r="D69" s="2">
        <v>2.87</v>
      </c>
      <c r="E69"/>
      <c r="F69"/>
      <c r="H69" s="42"/>
      <c r="I69" s="42"/>
      <c r="J69" s="42"/>
    </row>
    <row r="70" spans="1:10" x14ac:dyDescent="0.25">
      <c r="A70" s="1">
        <v>68</v>
      </c>
      <c r="B70" s="2">
        <v>187.9</v>
      </c>
      <c r="C70" s="2">
        <v>2.78</v>
      </c>
      <c r="D70" s="2">
        <v>2.71</v>
      </c>
      <c r="E70"/>
      <c r="F70"/>
      <c r="H70" s="42"/>
      <c r="I70" s="50"/>
      <c r="J70" s="50"/>
    </row>
    <row r="71" spans="1:10" x14ac:dyDescent="0.25">
      <c r="A71" s="1">
        <v>69</v>
      </c>
      <c r="B71" s="2">
        <v>188.25</v>
      </c>
      <c r="C71" s="2">
        <v>3.23</v>
      </c>
      <c r="D71" s="2">
        <v>2.96</v>
      </c>
      <c r="E71"/>
      <c r="F71"/>
      <c r="H71" s="50"/>
      <c r="I71" s="50"/>
      <c r="J71" s="50"/>
    </row>
    <row r="72" spans="1:10" x14ac:dyDescent="0.25">
      <c r="A72" s="1">
        <v>70</v>
      </c>
      <c r="B72" s="2">
        <v>187.92</v>
      </c>
      <c r="C72" s="2">
        <v>2.64</v>
      </c>
      <c r="D72" s="2">
        <v>3.38</v>
      </c>
      <c r="E72"/>
      <c r="F72"/>
      <c r="H72" s="50"/>
      <c r="I72" s="50"/>
      <c r="J72" s="50"/>
    </row>
    <row r="73" spans="1:10" x14ac:dyDescent="0.25">
      <c r="A73" s="1">
        <v>71</v>
      </c>
      <c r="B73" s="2">
        <v>187.96</v>
      </c>
      <c r="C73" s="2">
        <v>3.2</v>
      </c>
      <c r="D73" s="2">
        <v>3.36</v>
      </c>
      <c r="E73"/>
      <c r="F73"/>
      <c r="H73" s="50"/>
      <c r="I73" s="50"/>
      <c r="J73" s="50"/>
    </row>
    <row r="74" spans="1:10" x14ac:dyDescent="0.25">
      <c r="A74" s="1">
        <v>72</v>
      </c>
      <c r="B74" s="2">
        <v>188.33</v>
      </c>
      <c r="C74" s="2">
        <v>2.5499999999999998</v>
      </c>
      <c r="D74" s="2">
        <v>3.07</v>
      </c>
      <c r="E74"/>
      <c r="F74"/>
      <c r="H74" s="50"/>
      <c r="I74" s="50"/>
      <c r="J74" s="50"/>
    </row>
    <row r="75" spans="1:10" x14ac:dyDescent="0.25">
      <c r="A75" s="1">
        <v>73</v>
      </c>
      <c r="B75" s="2">
        <v>187.64</v>
      </c>
      <c r="C75" s="2">
        <v>2.92</v>
      </c>
      <c r="D75" s="2">
        <v>3.61</v>
      </c>
      <c r="E75"/>
      <c r="F75"/>
      <c r="H75" s="50"/>
    </row>
    <row r="76" spans="1:10" x14ac:dyDescent="0.25">
      <c r="A76" s="1">
        <v>74</v>
      </c>
      <c r="B76" s="2">
        <v>188.33</v>
      </c>
      <c r="C76" s="2">
        <v>2.4300000000000002</v>
      </c>
      <c r="D76" s="2">
        <v>2.81</v>
      </c>
      <c r="E76"/>
      <c r="F76"/>
    </row>
    <row r="77" spans="1:10" x14ac:dyDescent="0.25">
      <c r="A77" s="1">
        <v>75</v>
      </c>
      <c r="B77" s="2">
        <v>188.41</v>
      </c>
      <c r="C77" s="2">
        <v>4.8600000000000003</v>
      </c>
      <c r="D77" s="2">
        <v>3.64</v>
      </c>
      <c r="E77"/>
      <c r="F77"/>
    </row>
    <row r="78" spans="1:10" x14ac:dyDescent="0.25">
      <c r="A78" s="1">
        <v>76</v>
      </c>
      <c r="B78" s="2">
        <v>129.54</v>
      </c>
      <c r="C78" s="2">
        <v>3.79</v>
      </c>
      <c r="D78" s="2">
        <v>3.7</v>
      </c>
      <c r="E78"/>
      <c r="F78"/>
    </row>
    <row r="79" spans="1:10" x14ac:dyDescent="0.25">
      <c r="A79" s="1">
        <v>77</v>
      </c>
      <c r="B79" s="2">
        <v>129.30000000000001</v>
      </c>
      <c r="C79" s="2">
        <v>3.53</v>
      </c>
      <c r="D79" s="2">
        <v>3.16</v>
      </c>
      <c r="E79"/>
      <c r="F79"/>
    </row>
    <row r="80" spans="1:10" x14ac:dyDescent="0.25">
      <c r="A80" s="1">
        <v>78</v>
      </c>
      <c r="B80" s="2">
        <v>129.30000000000001</v>
      </c>
      <c r="C80" s="2">
        <v>3.08</v>
      </c>
      <c r="D80" s="2">
        <v>4.3600000000000003</v>
      </c>
      <c r="E80"/>
      <c r="F80"/>
    </row>
    <row r="81" spans="1:6" x14ac:dyDescent="0.25">
      <c r="A81" s="1">
        <v>79</v>
      </c>
      <c r="B81" s="2">
        <v>129.02000000000001</v>
      </c>
      <c r="C81" s="2">
        <v>3.23</v>
      </c>
      <c r="D81" s="2">
        <v>3.52</v>
      </c>
      <c r="E81"/>
      <c r="F81"/>
    </row>
    <row r="82" spans="1:6" x14ac:dyDescent="0.25">
      <c r="A82" s="1">
        <v>80</v>
      </c>
      <c r="B82" s="2">
        <v>129.13</v>
      </c>
      <c r="C82" s="2">
        <v>4.93</v>
      </c>
      <c r="D82" s="2">
        <v>4.32</v>
      </c>
      <c r="E82"/>
      <c r="F82"/>
    </row>
    <row r="83" spans="1:6" x14ac:dyDescent="0.25">
      <c r="A83" s="1">
        <v>81</v>
      </c>
      <c r="B83" s="2">
        <v>129.29</v>
      </c>
      <c r="C83" s="2">
        <v>2.58</v>
      </c>
      <c r="D83" s="2">
        <v>4.0599999999999996</v>
      </c>
      <c r="E83"/>
      <c r="F83"/>
    </row>
    <row r="84" spans="1:6" x14ac:dyDescent="0.25">
      <c r="A84" s="1">
        <v>82</v>
      </c>
      <c r="B84" s="2">
        <v>148.88999999999999</v>
      </c>
      <c r="C84" s="2">
        <v>5.86</v>
      </c>
      <c r="D84" s="2">
        <v>3.44</v>
      </c>
      <c r="E84"/>
      <c r="F84"/>
    </row>
    <row r="85" spans="1:6" x14ac:dyDescent="0.25">
      <c r="A85" s="1">
        <v>83</v>
      </c>
      <c r="B85" s="2">
        <v>128.68</v>
      </c>
      <c r="C85" s="2">
        <v>4.17</v>
      </c>
      <c r="D85" s="2">
        <v>4.7699999999999996</v>
      </c>
      <c r="E85"/>
      <c r="F85"/>
    </row>
    <row r="86" spans="1:6" x14ac:dyDescent="0.25">
      <c r="A86" s="1">
        <v>84</v>
      </c>
      <c r="B86" s="2">
        <v>129.09</v>
      </c>
      <c r="C86" s="2">
        <v>3.76</v>
      </c>
      <c r="D86" s="2">
        <v>3.38</v>
      </c>
      <c r="E86"/>
      <c r="F86"/>
    </row>
    <row r="87" spans="1:6" x14ac:dyDescent="0.25">
      <c r="A87" s="1">
        <v>85</v>
      </c>
      <c r="B87" s="2">
        <v>128.72999999999999</v>
      </c>
      <c r="C87" s="2">
        <v>3.25</v>
      </c>
      <c r="D87" s="2">
        <v>3.52</v>
      </c>
      <c r="E87"/>
      <c r="F87"/>
    </row>
    <row r="88" spans="1:6" x14ac:dyDescent="0.25">
      <c r="A88" s="1">
        <v>86</v>
      </c>
      <c r="B88" s="2">
        <v>148.75</v>
      </c>
      <c r="C88" s="2">
        <v>6.1</v>
      </c>
      <c r="D88" s="2">
        <v>3.53</v>
      </c>
      <c r="E88"/>
      <c r="F88"/>
    </row>
    <row r="89" spans="1:6" x14ac:dyDescent="0.25">
      <c r="A89" s="1">
        <v>87</v>
      </c>
      <c r="B89" s="2">
        <v>149.21</v>
      </c>
      <c r="C89" s="2">
        <v>6.63</v>
      </c>
      <c r="D89" s="2">
        <v>3.92</v>
      </c>
      <c r="E89"/>
      <c r="F89"/>
    </row>
    <row r="90" spans="1:6" x14ac:dyDescent="0.25">
      <c r="A90" s="1">
        <v>88</v>
      </c>
      <c r="B90" s="2">
        <v>147.06</v>
      </c>
      <c r="C90" s="2">
        <v>7.53</v>
      </c>
      <c r="D90" s="2">
        <v>17.309999999999999</v>
      </c>
      <c r="E90"/>
      <c r="F90"/>
    </row>
    <row r="91" spans="1:6" x14ac:dyDescent="0.25">
      <c r="A91" s="1">
        <v>89</v>
      </c>
      <c r="B91" s="2">
        <v>149.08000000000001</v>
      </c>
      <c r="C91" s="2">
        <v>8.2200000000000006</v>
      </c>
      <c r="D91" s="2">
        <v>3.93</v>
      </c>
      <c r="E91"/>
      <c r="F91"/>
    </row>
    <row r="92" spans="1:6" x14ac:dyDescent="0.25">
      <c r="A92" s="1">
        <v>90</v>
      </c>
      <c r="B92" s="2">
        <v>149.72</v>
      </c>
      <c r="C92" s="2">
        <v>6.49</v>
      </c>
      <c r="D92" s="2">
        <v>3.25</v>
      </c>
      <c r="E92"/>
      <c r="F92"/>
    </row>
    <row r="93" spans="1:6" x14ac:dyDescent="0.25">
      <c r="A93" s="1">
        <v>91</v>
      </c>
      <c r="B93" s="2">
        <v>129.33000000000001</v>
      </c>
      <c r="C93" s="2">
        <v>3.33</v>
      </c>
      <c r="D93" s="2">
        <v>3.23</v>
      </c>
      <c r="E93"/>
      <c r="F93"/>
    </row>
    <row r="94" spans="1:6" x14ac:dyDescent="0.25">
      <c r="A94" s="1">
        <v>92</v>
      </c>
      <c r="B94" s="2">
        <v>129.04</v>
      </c>
      <c r="C94" s="2">
        <v>2.99</v>
      </c>
      <c r="D94" s="2">
        <v>2.76</v>
      </c>
      <c r="E94"/>
      <c r="F94"/>
    </row>
    <row r="95" spans="1:6" x14ac:dyDescent="0.25">
      <c r="A95" s="1">
        <v>93</v>
      </c>
      <c r="B95" s="2">
        <v>129.1</v>
      </c>
      <c r="C95" s="2">
        <v>4.01</v>
      </c>
      <c r="D95" s="2">
        <v>1.88</v>
      </c>
      <c r="E95"/>
      <c r="F95"/>
    </row>
    <row r="96" spans="1:6" x14ac:dyDescent="0.25">
      <c r="A96" s="1">
        <v>94</v>
      </c>
      <c r="B96" s="2">
        <v>147.91999999999999</v>
      </c>
      <c r="C96" s="2">
        <v>9.26</v>
      </c>
      <c r="D96" s="2">
        <v>3.2</v>
      </c>
      <c r="E96"/>
      <c r="F96"/>
    </row>
    <row r="97" spans="1:6" x14ac:dyDescent="0.25">
      <c r="A97" s="1">
        <v>95</v>
      </c>
      <c r="B97" s="2">
        <v>148.62</v>
      </c>
      <c r="C97" s="2">
        <v>6.07</v>
      </c>
      <c r="D97" s="2">
        <v>3.27</v>
      </c>
      <c r="E97"/>
      <c r="F97"/>
    </row>
    <row r="98" spans="1:6" x14ac:dyDescent="0.25">
      <c r="A98" s="1">
        <v>96</v>
      </c>
      <c r="B98" s="2">
        <v>147.88999999999999</v>
      </c>
      <c r="C98" s="2">
        <v>7.05</v>
      </c>
      <c r="D98" s="2">
        <v>3.2</v>
      </c>
      <c r="E98"/>
      <c r="F98"/>
    </row>
    <row r="99" spans="1:6" x14ac:dyDescent="0.25">
      <c r="A99" s="1">
        <v>97</v>
      </c>
      <c r="B99" s="2">
        <v>129.27000000000001</v>
      </c>
      <c r="C99" s="2">
        <v>4.2300000000000004</v>
      </c>
      <c r="D99" s="2">
        <v>2.93</v>
      </c>
      <c r="E99"/>
      <c r="F99"/>
    </row>
    <row r="100" spans="1:6" x14ac:dyDescent="0.25">
      <c r="A100" s="1">
        <v>98</v>
      </c>
      <c r="B100" s="2">
        <v>128.71</v>
      </c>
      <c r="C100" s="2">
        <v>2.92</v>
      </c>
      <c r="D100" s="2">
        <v>3.91</v>
      </c>
      <c r="E100"/>
      <c r="F100"/>
    </row>
    <row r="101" spans="1:6" x14ac:dyDescent="0.25">
      <c r="A101" s="1">
        <v>99</v>
      </c>
      <c r="B101" s="2">
        <v>128.47999999999999</v>
      </c>
      <c r="C101" s="2">
        <v>4.3</v>
      </c>
      <c r="D101" s="2">
        <v>4.8899999999999997</v>
      </c>
      <c r="E101"/>
      <c r="F101"/>
    </row>
    <row r="102" spans="1:6" x14ac:dyDescent="0.25">
      <c r="A102" s="1">
        <v>100</v>
      </c>
      <c r="B102" s="2">
        <v>149.97999999999999</v>
      </c>
      <c r="C102" s="2">
        <v>4.78</v>
      </c>
      <c r="D102" s="2">
        <v>3.48</v>
      </c>
      <c r="E102"/>
      <c r="F102"/>
    </row>
    <row r="103" spans="1:6" x14ac:dyDescent="0.25">
      <c r="A103" s="1">
        <v>101</v>
      </c>
      <c r="B103" s="2">
        <v>187.79</v>
      </c>
      <c r="C103" s="2">
        <v>2.5</v>
      </c>
      <c r="D103" s="2">
        <v>2.91</v>
      </c>
      <c r="E103"/>
      <c r="F103"/>
    </row>
    <row r="104" spans="1:6" x14ac:dyDescent="0.25">
      <c r="A104" s="1">
        <v>102</v>
      </c>
      <c r="B104" s="2">
        <v>128.86000000000001</v>
      </c>
      <c r="C104" s="2">
        <v>2.5</v>
      </c>
      <c r="D104" s="2">
        <v>2.77</v>
      </c>
      <c r="E104"/>
      <c r="F104"/>
    </row>
    <row r="105" spans="1:6" x14ac:dyDescent="0.25">
      <c r="A105" s="1">
        <v>103</v>
      </c>
      <c r="B105" s="2">
        <v>188.13</v>
      </c>
      <c r="C105" s="2">
        <v>3.05</v>
      </c>
      <c r="D105" s="2">
        <v>3.7</v>
      </c>
      <c r="E105"/>
      <c r="F105"/>
    </row>
    <row r="106" spans="1:6" x14ac:dyDescent="0.25">
      <c r="A106" s="1">
        <v>104</v>
      </c>
      <c r="B106" s="2">
        <v>188.33</v>
      </c>
      <c r="C106" s="2">
        <v>2.74</v>
      </c>
      <c r="D106" s="2">
        <v>2.9</v>
      </c>
      <c r="E106"/>
      <c r="F106"/>
    </row>
    <row r="107" spans="1:6" x14ac:dyDescent="0.25">
      <c r="A107" s="1">
        <v>105</v>
      </c>
      <c r="B107" s="2">
        <v>129.46</v>
      </c>
      <c r="C107" s="2">
        <v>3.49</v>
      </c>
      <c r="D107" s="2">
        <v>3.31</v>
      </c>
      <c r="E107"/>
      <c r="F107"/>
    </row>
    <row r="108" spans="1:6" x14ac:dyDescent="0.25">
      <c r="A108" s="1">
        <v>106</v>
      </c>
      <c r="B108" s="2">
        <v>188.22</v>
      </c>
      <c r="C108" s="2">
        <v>2.4300000000000002</v>
      </c>
      <c r="D108" s="2">
        <v>3.62</v>
      </c>
      <c r="E108"/>
      <c r="F108"/>
    </row>
    <row r="109" spans="1:6" x14ac:dyDescent="0.25">
      <c r="A109" s="1">
        <v>107</v>
      </c>
      <c r="B109" s="2">
        <v>187.98</v>
      </c>
      <c r="C109" s="2">
        <v>3.16</v>
      </c>
      <c r="D109" s="2">
        <v>2.31</v>
      </c>
      <c r="E109"/>
      <c r="F109"/>
    </row>
    <row r="110" spans="1:6" x14ac:dyDescent="0.25">
      <c r="A110" s="1">
        <v>108</v>
      </c>
      <c r="B110" s="2">
        <v>129.18</v>
      </c>
      <c r="C110" s="2">
        <v>3.29</v>
      </c>
      <c r="D110" s="2">
        <v>2.98</v>
      </c>
      <c r="E110"/>
      <c r="F110"/>
    </row>
    <row r="111" spans="1:6" x14ac:dyDescent="0.25">
      <c r="A111" s="1">
        <v>109</v>
      </c>
      <c r="B111" s="2">
        <v>129.27000000000001</v>
      </c>
      <c r="C111" s="2">
        <v>3.63</v>
      </c>
      <c r="D111" s="2">
        <v>2.91</v>
      </c>
      <c r="E111"/>
      <c r="F111"/>
    </row>
    <row r="112" spans="1:6" x14ac:dyDescent="0.25">
      <c r="A112" s="1">
        <v>110</v>
      </c>
      <c r="B112" s="2">
        <v>129.33000000000001</v>
      </c>
      <c r="C112" s="2">
        <v>2.11</v>
      </c>
      <c r="D112" s="2">
        <v>3.6</v>
      </c>
      <c r="E112"/>
      <c r="F112"/>
    </row>
    <row r="113" spans="1:6" x14ac:dyDescent="0.25">
      <c r="A113" s="1">
        <v>111</v>
      </c>
      <c r="B113" s="2">
        <v>129.11000000000001</v>
      </c>
      <c r="C113" s="2">
        <v>3.56</v>
      </c>
      <c r="D113" s="2">
        <v>2.31</v>
      </c>
      <c r="E113"/>
      <c r="F113"/>
    </row>
    <row r="114" spans="1:6" x14ac:dyDescent="0.25">
      <c r="A114" s="1">
        <v>112</v>
      </c>
      <c r="B114" s="2">
        <v>188.09</v>
      </c>
      <c r="C114" s="2">
        <v>3.72</v>
      </c>
      <c r="D114" s="2">
        <v>2.2799999999999998</v>
      </c>
      <c r="E114"/>
      <c r="F114"/>
    </row>
    <row r="115" spans="1:6" x14ac:dyDescent="0.25">
      <c r="A115" s="1">
        <v>113</v>
      </c>
      <c r="B115" s="2">
        <v>129.62</v>
      </c>
      <c r="C115" s="2">
        <v>2.56</v>
      </c>
      <c r="D115" s="2">
        <v>2.92</v>
      </c>
      <c r="E115"/>
      <c r="F115"/>
    </row>
    <row r="116" spans="1:6" x14ac:dyDescent="0.25">
      <c r="A116" s="1">
        <v>114</v>
      </c>
      <c r="B116" s="2">
        <v>188.59</v>
      </c>
      <c r="C116" s="2">
        <v>2.4900000000000002</v>
      </c>
      <c r="D116" s="2">
        <v>3.22</v>
      </c>
      <c r="E116"/>
      <c r="F116"/>
    </row>
    <row r="117" spans="1:6" x14ac:dyDescent="0.25">
      <c r="A117" s="1">
        <v>115</v>
      </c>
      <c r="B117" s="2">
        <v>188.18</v>
      </c>
      <c r="C117" s="2">
        <v>3.94</v>
      </c>
      <c r="D117" s="2">
        <v>3.23</v>
      </c>
      <c r="E117"/>
      <c r="F117"/>
    </row>
    <row r="118" spans="1:6" x14ac:dyDescent="0.25">
      <c r="A118" s="1">
        <v>116</v>
      </c>
      <c r="B118" s="2">
        <v>187.86</v>
      </c>
      <c r="C118" s="2">
        <v>4.0599999999999996</v>
      </c>
      <c r="D118" s="2">
        <v>2.93</v>
      </c>
      <c r="E118"/>
      <c r="F118"/>
    </row>
    <row r="119" spans="1:6" x14ac:dyDescent="0.25">
      <c r="A119" s="1">
        <v>117</v>
      </c>
      <c r="B119" s="2">
        <v>188.23</v>
      </c>
      <c r="C119" s="2">
        <v>3.75</v>
      </c>
      <c r="D119" s="2">
        <v>2.92</v>
      </c>
      <c r="E119"/>
      <c r="F119"/>
    </row>
    <row r="120" spans="1:6" x14ac:dyDescent="0.25">
      <c r="A120" s="1">
        <v>118</v>
      </c>
      <c r="B120" s="2">
        <v>187.79</v>
      </c>
      <c r="C120" s="2">
        <v>3.23</v>
      </c>
      <c r="D120" s="2">
        <v>3.84</v>
      </c>
      <c r="E120"/>
      <c r="F120"/>
    </row>
    <row r="121" spans="1:6" x14ac:dyDescent="0.25">
      <c r="A121" s="1">
        <v>119</v>
      </c>
      <c r="B121" s="2">
        <v>188.41</v>
      </c>
      <c r="C121" s="2">
        <v>3.57</v>
      </c>
      <c r="D121" s="2">
        <v>2.4500000000000002</v>
      </c>
      <c r="E121"/>
      <c r="F121"/>
    </row>
    <row r="122" spans="1:6" x14ac:dyDescent="0.25">
      <c r="A122" s="1">
        <v>120</v>
      </c>
      <c r="B122" s="2">
        <v>188.47</v>
      </c>
      <c r="C122" s="2">
        <v>2.33</v>
      </c>
      <c r="D122" s="2">
        <v>3.07</v>
      </c>
      <c r="E122"/>
      <c r="F122"/>
    </row>
    <row r="123" spans="1:6" x14ac:dyDescent="0.25">
      <c r="A123" s="1">
        <v>121</v>
      </c>
      <c r="B123" s="2">
        <v>188.3</v>
      </c>
      <c r="C123" s="2">
        <v>2.59</v>
      </c>
      <c r="D123" s="2">
        <v>3.34</v>
      </c>
      <c r="E123"/>
      <c r="F123"/>
    </row>
    <row r="124" spans="1:6" x14ac:dyDescent="0.25">
      <c r="A124" s="1">
        <v>122</v>
      </c>
      <c r="B124" s="2">
        <v>188.5</v>
      </c>
      <c r="C124" s="2">
        <v>3.78</v>
      </c>
      <c r="D124" s="2">
        <v>3.55</v>
      </c>
      <c r="E124"/>
      <c r="F124"/>
    </row>
    <row r="125" spans="1:6" x14ac:dyDescent="0.25">
      <c r="A125" s="1">
        <v>123</v>
      </c>
      <c r="B125" s="2">
        <v>188.27</v>
      </c>
      <c r="C125" s="2">
        <v>3.28</v>
      </c>
      <c r="D125" s="2">
        <v>3.86</v>
      </c>
      <c r="E125"/>
      <c r="F125"/>
    </row>
    <row r="126" spans="1:6" x14ac:dyDescent="0.25">
      <c r="A126" s="1">
        <v>124</v>
      </c>
      <c r="B126" s="2">
        <v>129.38</v>
      </c>
      <c r="C126" s="2">
        <v>2.2599999999999998</v>
      </c>
      <c r="D126" s="2">
        <v>3.62</v>
      </c>
      <c r="E126"/>
      <c r="F126"/>
    </row>
    <row r="127" spans="1:6" x14ac:dyDescent="0.25">
      <c r="A127" s="1">
        <v>125</v>
      </c>
      <c r="B127" s="2">
        <v>129.31</v>
      </c>
      <c r="C127" s="2">
        <v>3.87</v>
      </c>
      <c r="D127" s="2">
        <v>2.72</v>
      </c>
      <c r="E127"/>
      <c r="F127"/>
    </row>
    <row r="128" spans="1:6" x14ac:dyDescent="0.25">
      <c r="A128" s="1">
        <v>126</v>
      </c>
      <c r="B128" s="2">
        <v>129.22999999999999</v>
      </c>
      <c r="C128" s="2">
        <v>4.1399999999999997</v>
      </c>
      <c r="D128" s="2">
        <v>3.56</v>
      </c>
      <c r="E128"/>
      <c r="F128"/>
    </row>
    <row r="129" spans="1:6" x14ac:dyDescent="0.25">
      <c r="A129" s="1">
        <v>127</v>
      </c>
      <c r="B129" s="2">
        <v>180.75</v>
      </c>
      <c r="C129" s="2">
        <v>2.84</v>
      </c>
      <c r="D129" s="2">
        <v>38.51</v>
      </c>
      <c r="E129"/>
      <c r="F129"/>
    </row>
    <row r="130" spans="1:6" x14ac:dyDescent="0.25">
      <c r="A130" s="1">
        <v>128</v>
      </c>
      <c r="B130" s="2">
        <v>128.91999999999999</v>
      </c>
      <c r="C130" s="2">
        <v>3.79</v>
      </c>
      <c r="D130" s="2">
        <v>3.7</v>
      </c>
      <c r="E130"/>
      <c r="F130"/>
    </row>
    <row r="131" spans="1:6" x14ac:dyDescent="0.25">
      <c r="A131" s="1">
        <v>129</v>
      </c>
      <c r="B131" s="2">
        <v>129.02000000000001</v>
      </c>
      <c r="C131" s="2">
        <v>2.71</v>
      </c>
      <c r="D131" s="2">
        <v>3.33</v>
      </c>
      <c r="E131"/>
      <c r="F131"/>
    </row>
    <row r="132" spans="1:6" x14ac:dyDescent="0.25">
      <c r="A132" s="1">
        <v>130</v>
      </c>
      <c r="B132" s="2">
        <v>129.77000000000001</v>
      </c>
      <c r="C132" s="2">
        <v>4.2699999999999996</v>
      </c>
      <c r="D132" s="2">
        <v>3.64</v>
      </c>
      <c r="E132"/>
      <c r="F132"/>
    </row>
    <row r="133" spans="1:6" x14ac:dyDescent="0.25">
      <c r="A133" s="1">
        <v>131</v>
      </c>
      <c r="B133" s="2">
        <v>129.01</v>
      </c>
      <c r="C133" s="2">
        <v>3.09</v>
      </c>
      <c r="D133" s="2">
        <v>3.21</v>
      </c>
      <c r="E133"/>
      <c r="F133"/>
    </row>
    <row r="134" spans="1:6" x14ac:dyDescent="0.25">
      <c r="A134" s="1">
        <v>132</v>
      </c>
      <c r="B134" s="2">
        <v>129.27000000000001</v>
      </c>
      <c r="C134" s="2">
        <v>3.76</v>
      </c>
      <c r="D134" s="2">
        <v>2.93</v>
      </c>
      <c r="E134"/>
      <c r="F134"/>
    </row>
    <row r="135" spans="1:6" x14ac:dyDescent="0.25">
      <c r="A135" s="1">
        <v>133</v>
      </c>
      <c r="B135" s="2">
        <v>129.18</v>
      </c>
      <c r="C135" s="2">
        <v>3.76</v>
      </c>
      <c r="D135" s="2">
        <v>3.18</v>
      </c>
      <c r="E135"/>
      <c r="F135"/>
    </row>
    <row r="136" spans="1:6" x14ac:dyDescent="0.25">
      <c r="A136" s="1">
        <v>134</v>
      </c>
      <c r="B136" s="2">
        <v>128.97</v>
      </c>
      <c r="C136" s="2">
        <v>3.65</v>
      </c>
      <c r="D136" s="2">
        <v>2.93</v>
      </c>
      <c r="E136"/>
      <c r="F136"/>
    </row>
    <row r="137" spans="1:6" x14ac:dyDescent="0.25">
      <c r="A137" s="1">
        <v>135</v>
      </c>
      <c r="B137" s="2">
        <v>156.91</v>
      </c>
      <c r="C137" s="2">
        <v>3.77</v>
      </c>
      <c r="D137" s="2">
        <v>21.28</v>
      </c>
      <c r="E137"/>
      <c r="F137"/>
    </row>
    <row r="138" spans="1:6" x14ac:dyDescent="0.25">
      <c r="A138" s="1">
        <v>136</v>
      </c>
      <c r="B138" s="2">
        <v>128.9</v>
      </c>
      <c r="C138" s="2">
        <v>2.96</v>
      </c>
      <c r="D138" s="2">
        <v>4.1399999999999997</v>
      </c>
      <c r="E138"/>
      <c r="F138"/>
    </row>
    <row r="139" spans="1:6" x14ac:dyDescent="0.25">
      <c r="A139" s="1">
        <v>137</v>
      </c>
      <c r="B139" s="2">
        <v>128.80000000000001</v>
      </c>
      <c r="C139" s="2">
        <v>3.99</v>
      </c>
      <c r="D139" s="2">
        <v>2.84</v>
      </c>
      <c r="E139"/>
      <c r="F139"/>
    </row>
    <row r="140" spans="1:6" x14ac:dyDescent="0.25">
      <c r="A140" s="1">
        <v>138</v>
      </c>
      <c r="B140" s="2">
        <v>129.25</v>
      </c>
      <c r="C140" s="2">
        <v>4.6399999999999997</v>
      </c>
      <c r="D140" s="2">
        <v>3.04</v>
      </c>
      <c r="E140"/>
      <c r="F140"/>
    </row>
    <row r="141" spans="1:6" x14ac:dyDescent="0.25">
      <c r="A141" s="1">
        <v>139</v>
      </c>
      <c r="B141" s="2">
        <v>129.41</v>
      </c>
      <c r="C141" s="2">
        <v>3.47</v>
      </c>
      <c r="D141" s="2">
        <v>3.9</v>
      </c>
      <c r="E141"/>
      <c r="F141"/>
    </row>
    <row r="142" spans="1:6" x14ac:dyDescent="0.25">
      <c r="A142" s="1">
        <v>140</v>
      </c>
      <c r="B142" s="2">
        <v>129.16</v>
      </c>
      <c r="C142" s="2">
        <v>3.69</v>
      </c>
      <c r="D142" s="2">
        <v>3.94</v>
      </c>
      <c r="E142"/>
      <c r="F142"/>
    </row>
    <row r="143" spans="1:6" x14ac:dyDescent="0.25">
      <c r="A143" s="1">
        <v>141</v>
      </c>
      <c r="B143" s="2">
        <v>178.36</v>
      </c>
      <c r="C143" s="2">
        <v>2.91</v>
      </c>
      <c r="D143" s="2">
        <v>43.26</v>
      </c>
      <c r="E143"/>
      <c r="F143"/>
    </row>
    <row r="144" spans="1:6" x14ac:dyDescent="0.25">
      <c r="A144" s="1">
        <v>142</v>
      </c>
      <c r="B144" s="2">
        <v>180.75</v>
      </c>
      <c r="C144" s="2">
        <v>2.89</v>
      </c>
      <c r="D144" s="2">
        <v>38.479999999999997</v>
      </c>
      <c r="E144"/>
      <c r="F144"/>
    </row>
    <row r="145" spans="1:6" x14ac:dyDescent="0.25">
      <c r="A145" s="1">
        <v>143</v>
      </c>
      <c r="B145" s="2">
        <v>128.87</v>
      </c>
      <c r="C145" s="2">
        <v>3.7</v>
      </c>
      <c r="D145" s="2">
        <v>3.04</v>
      </c>
      <c r="E145"/>
      <c r="F145"/>
    </row>
    <row r="146" spans="1:6" x14ac:dyDescent="0.25">
      <c r="A146" s="1">
        <v>144</v>
      </c>
      <c r="B146" s="2">
        <v>129.13</v>
      </c>
      <c r="C146" s="2">
        <v>2.33</v>
      </c>
      <c r="D146" s="2">
        <v>3.19</v>
      </c>
      <c r="E146"/>
      <c r="F146"/>
    </row>
    <row r="147" spans="1:6" x14ac:dyDescent="0.25">
      <c r="A147" s="1">
        <v>145</v>
      </c>
      <c r="B147" s="2">
        <v>186.51</v>
      </c>
      <c r="C147" s="2">
        <v>2.8</v>
      </c>
      <c r="D147" s="2">
        <v>19.61</v>
      </c>
      <c r="E147"/>
      <c r="F147"/>
    </row>
    <row r="148" spans="1:6" x14ac:dyDescent="0.25">
      <c r="A148" s="1">
        <v>146</v>
      </c>
      <c r="B148" s="2">
        <v>128.69999999999999</v>
      </c>
      <c r="C148" s="2">
        <v>4.05</v>
      </c>
      <c r="D148" s="2">
        <v>3.07</v>
      </c>
      <c r="E148"/>
      <c r="F148"/>
    </row>
    <row r="149" spans="1:6" x14ac:dyDescent="0.25">
      <c r="A149" s="1">
        <v>147</v>
      </c>
      <c r="B149" s="2">
        <v>188.65</v>
      </c>
      <c r="C149" s="2">
        <v>2.87</v>
      </c>
      <c r="D149" s="2">
        <v>3.13</v>
      </c>
      <c r="E149"/>
      <c r="F149"/>
    </row>
    <row r="150" spans="1:6" x14ac:dyDescent="0.25">
      <c r="A150" s="1">
        <v>148</v>
      </c>
      <c r="B150" s="2">
        <v>174.41</v>
      </c>
      <c r="C150" s="2">
        <v>2.97</v>
      </c>
      <c r="D150" s="2">
        <v>45.33</v>
      </c>
      <c r="E150"/>
      <c r="F150"/>
    </row>
    <row r="151" spans="1:6" x14ac:dyDescent="0.25">
      <c r="A151" s="1">
        <v>149</v>
      </c>
      <c r="B151" s="2">
        <v>128.76</v>
      </c>
      <c r="C151" s="2">
        <v>2.64</v>
      </c>
      <c r="D151" s="2">
        <v>3.65</v>
      </c>
      <c r="E151"/>
      <c r="F151"/>
    </row>
    <row r="152" spans="1:6" x14ac:dyDescent="0.25">
      <c r="A152" s="1">
        <v>150</v>
      </c>
      <c r="B152" s="2">
        <v>186.84</v>
      </c>
      <c r="C152" s="2">
        <v>3.27</v>
      </c>
      <c r="D152" s="2">
        <v>18.47</v>
      </c>
      <c r="E152"/>
      <c r="F152"/>
    </row>
    <row r="153" spans="1:6" x14ac:dyDescent="0.25">
      <c r="A153" s="1">
        <v>151</v>
      </c>
      <c r="B153" s="2">
        <v>129.02000000000001</v>
      </c>
      <c r="C153" s="2">
        <v>3.85</v>
      </c>
      <c r="D153" s="2">
        <v>3.22</v>
      </c>
      <c r="E153"/>
      <c r="F153"/>
    </row>
    <row r="154" spans="1:6" x14ac:dyDescent="0.25">
      <c r="A154" s="1">
        <v>152</v>
      </c>
      <c r="B154" s="2">
        <v>129.55000000000001</v>
      </c>
      <c r="C154" s="2">
        <v>4.13</v>
      </c>
      <c r="D154" s="2">
        <v>3.65</v>
      </c>
      <c r="E154"/>
      <c r="F154"/>
    </row>
    <row r="155" spans="1:6" x14ac:dyDescent="0.25">
      <c r="A155" s="1">
        <v>153</v>
      </c>
      <c r="B155" s="2">
        <v>128.63</v>
      </c>
      <c r="C155" s="2">
        <v>3.84</v>
      </c>
      <c r="D155" s="2">
        <v>4.84</v>
      </c>
      <c r="E155"/>
      <c r="F155"/>
    </row>
    <row r="156" spans="1:6" x14ac:dyDescent="0.25">
      <c r="A156" s="1">
        <v>154</v>
      </c>
      <c r="B156" s="2">
        <v>128.85</v>
      </c>
      <c r="C156" s="2">
        <v>4.24</v>
      </c>
      <c r="D156" s="2">
        <v>3.65</v>
      </c>
      <c r="E156"/>
      <c r="F156"/>
    </row>
    <row r="157" spans="1:6" x14ac:dyDescent="0.25">
      <c r="A157" s="1">
        <v>155</v>
      </c>
      <c r="B157" s="2">
        <v>129.16999999999999</v>
      </c>
      <c r="C157" s="2">
        <v>4.82</v>
      </c>
      <c r="D157" s="2">
        <v>3.63</v>
      </c>
      <c r="E157"/>
      <c r="F157"/>
    </row>
    <row r="158" spans="1:6" x14ac:dyDescent="0.25">
      <c r="A158" s="1">
        <v>156</v>
      </c>
      <c r="B158" s="2">
        <v>128.59</v>
      </c>
      <c r="C158" s="2">
        <v>3.92</v>
      </c>
      <c r="D158" s="2">
        <v>3.55</v>
      </c>
      <c r="E158"/>
      <c r="F158"/>
    </row>
    <row r="159" spans="1:6" x14ac:dyDescent="0.25">
      <c r="A159" s="1">
        <v>157</v>
      </c>
      <c r="B159" s="2">
        <v>128.91999999999999</v>
      </c>
      <c r="C159" s="2">
        <v>4.1399999999999997</v>
      </c>
      <c r="D159" s="2">
        <v>3.38</v>
      </c>
      <c r="E159"/>
      <c r="F159"/>
    </row>
    <row r="160" spans="1:6" x14ac:dyDescent="0.25">
      <c r="A160" s="1">
        <v>158</v>
      </c>
      <c r="B160" s="2">
        <v>129.02000000000001</v>
      </c>
      <c r="C160" s="2">
        <v>3.73</v>
      </c>
      <c r="D160" s="2">
        <v>3.55</v>
      </c>
      <c r="E160"/>
      <c r="F160"/>
    </row>
    <row r="161" spans="1:6" x14ac:dyDescent="0.25">
      <c r="A161" s="1">
        <v>159</v>
      </c>
      <c r="B161" s="2">
        <v>129.11000000000001</v>
      </c>
      <c r="C161" s="2">
        <v>3.67</v>
      </c>
      <c r="D161" s="2">
        <v>3.36</v>
      </c>
      <c r="E161"/>
      <c r="F161"/>
    </row>
    <row r="162" spans="1:6" x14ac:dyDescent="0.25">
      <c r="A162" s="1">
        <v>160</v>
      </c>
      <c r="B162" s="2">
        <v>128.78</v>
      </c>
      <c r="C162" s="2">
        <v>4.59</v>
      </c>
      <c r="D162" s="2">
        <v>2.9</v>
      </c>
      <c r="E162"/>
      <c r="F162"/>
    </row>
    <row r="163" spans="1:6" x14ac:dyDescent="0.25">
      <c r="A163" s="1">
        <v>161</v>
      </c>
      <c r="B163" s="2">
        <v>129.05000000000001</v>
      </c>
      <c r="C163" s="2">
        <v>3.41</v>
      </c>
      <c r="D163" s="2">
        <v>4.21</v>
      </c>
      <c r="E163"/>
      <c r="F163"/>
    </row>
    <row r="164" spans="1:6" x14ac:dyDescent="0.25">
      <c r="A164" s="1">
        <v>162</v>
      </c>
      <c r="B164" s="2">
        <v>129.27000000000001</v>
      </c>
      <c r="C164" s="2">
        <v>3.65</v>
      </c>
      <c r="D164" s="2">
        <v>2.97</v>
      </c>
      <c r="E164"/>
      <c r="F164"/>
    </row>
    <row r="165" spans="1:6" x14ac:dyDescent="0.25">
      <c r="A165" s="1">
        <v>163</v>
      </c>
      <c r="B165" s="2">
        <v>128.97</v>
      </c>
      <c r="C165" s="2">
        <v>3.64</v>
      </c>
      <c r="D165" s="2">
        <v>4.1100000000000003</v>
      </c>
      <c r="E165"/>
      <c r="F165"/>
    </row>
    <row r="166" spans="1:6" x14ac:dyDescent="0.25">
      <c r="A166" s="1">
        <v>164</v>
      </c>
      <c r="B166" s="2">
        <v>128.44999999999999</v>
      </c>
      <c r="C166" s="2">
        <v>4.5599999999999996</v>
      </c>
      <c r="D166" s="2">
        <v>3.3</v>
      </c>
      <c r="E166"/>
      <c r="F166"/>
    </row>
    <row r="167" spans="1:6" x14ac:dyDescent="0.25">
      <c r="A167" s="1">
        <v>165</v>
      </c>
      <c r="B167" s="2">
        <v>128.88999999999999</v>
      </c>
      <c r="C167" s="2">
        <v>4.1100000000000003</v>
      </c>
      <c r="D167" s="2">
        <v>3.88</v>
      </c>
      <c r="E167"/>
      <c r="F167"/>
    </row>
    <row r="168" spans="1:6" x14ac:dyDescent="0.25">
      <c r="A168" s="1">
        <v>166</v>
      </c>
      <c r="B168" s="2">
        <v>128.6</v>
      </c>
      <c r="C168" s="2">
        <v>4.2300000000000004</v>
      </c>
      <c r="D168" s="2">
        <v>3.78</v>
      </c>
      <c r="E168"/>
      <c r="F168"/>
    </row>
    <row r="169" spans="1:6" x14ac:dyDescent="0.25">
      <c r="A169" s="1">
        <v>167</v>
      </c>
      <c r="B169" s="2">
        <v>128.55000000000001</v>
      </c>
      <c r="C169" s="2">
        <v>3.9</v>
      </c>
      <c r="D169" s="2">
        <v>3.26</v>
      </c>
      <c r="E169"/>
      <c r="F169"/>
    </row>
    <row r="170" spans="1:6" x14ac:dyDescent="0.25">
      <c r="A170" s="1">
        <v>168</v>
      </c>
      <c r="B170" s="2">
        <v>128.76</v>
      </c>
      <c r="C170" s="2">
        <v>3.5</v>
      </c>
      <c r="D170" s="2">
        <v>3.82</v>
      </c>
      <c r="E170"/>
      <c r="F170"/>
    </row>
    <row r="171" spans="1:6" x14ac:dyDescent="0.25">
      <c r="A171" s="1">
        <v>169</v>
      </c>
      <c r="B171" s="2">
        <v>128.56</v>
      </c>
      <c r="C171" s="2">
        <v>4.0199999999999996</v>
      </c>
      <c r="D171" s="2">
        <v>4.05</v>
      </c>
      <c r="E171"/>
      <c r="F171"/>
    </row>
    <row r="172" spans="1:6" x14ac:dyDescent="0.25">
      <c r="A172" s="1">
        <v>170</v>
      </c>
      <c r="B172" s="2">
        <v>128.75</v>
      </c>
      <c r="C172" s="2">
        <v>2.78</v>
      </c>
      <c r="D172" s="2">
        <v>3.9</v>
      </c>
      <c r="E172"/>
      <c r="F172"/>
    </row>
    <row r="173" spans="1:6" x14ac:dyDescent="0.25">
      <c r="A173" s="1">
        <v>171</v>
      </c>
      <c r="B173" s="2">
        <v>128.77000000000001</v>
      </c>
      <c r="C173" s="2">
        <v>3.82</v>
      </c>
      <c r="D173" s="2">
        <v>4.6100000000000003</v>
      </c>
      <c r="E173"/>
      <c r="F173"/>
    </row>
    <row r="174" spans="1:6" x14ac:dyDescent="0.25">
      <c r="A174" s="1">
        <v>172</v>
      </c>
      <c r="B174" s="2">
        <v>128.43</v>
      </c>
      <c r="C174" s="2">
        <v>3.09</v>
      </c>
      <c r="D174" s="2">
        <v>2.76</v>
      </c>
      <c r="E174"/>
      <c r="F174"/>
    </row>
    <row r="175" spans="1:6" x14ac:dyDescent="0.25">
      <c r="A175" s="1">
        <v>173</v>
      </c>
      <c r="B175" s="2">
        <v>129</v>
      </c>
      <c r="C175" s="2">
        <v>3.48</v>
      </c>
      <c r="D175" s="2">
        <v>4</v>
      </c>
      <c r="E175"/>
      <c r="F175"/>
    </row>
    <row r="176" spans="1:6" x14ac:dyDescent="0.25">
      <c r="A176" s="1">
        <v>174</v>
      </c>
      <c r="B176" s="2">
        <v>129.19999999999999</v>
      </c>
      <c r="C176" s="2">
        <v>3.78</v>
      </c>
      <c r="D176" s="2">
        <v>3.53</v>
      </c>
      <c r="E176"/>
      <c r="F176"/>
    </row>
    <row r="177" spans="1:6" x14ac:dyDescent="0.25">
      <c r="A177" s="1">
        <v>175</v>
      </c>
      <c r="B177" s="2">
        <v>128.34</v>
      </c>
      <c r="C177" s="2">
        <v>4.63</v>
      </c>
      <c r="D177" s="2">
        <v>3.14</v>
      </c>
      <c r="E177"/>
      <c r="F177"/>
    </row>
    <row r="178" spans="1:6" x14ac:dyDescent="0.25">
      <c r="A178" s="1">
        <v>176</v>
      </c>
      <c r="B178" s="2">
        <v>153.88999999999999</v>
      </c>
      <c r="C178" s="2">
        <v>3.61</v>
      </c>
      <c r="D178" s="2">
        <v>7.42</v>
      </c>
      <c r="E178"/>
      <c r="F178"/>
    </row>
    <row r="179" spans="1:6" x14ac:dyDescent="0.25">
      <c r="A179" s="1">
        <v>177</v>
      </c>
      <c r="B179" s="2">
        <v>129.31</v>
      </c>
      <c r="C179" s="2">
        <v>4.03</v>
      </c>
      <c r="D179" s="2">
        <v>3.17</v>
      </c>
      <c r="E179"/>
      <c r="F179"/>
    </row>
    <row r="180" spans="1:6" x14ac:dyDescent="0.25">
      <c r="A180" s="1">
        <v>178</v>
      </c>
      <c r="B180" s="2">
        <v>154</v>
      </c>
      <c r="C180" s="2">
        <v>4.54</v>
      </c>
      <c r="D180" s="2">
        <v>8.11</v>
      </c>
      <c r="E180"/>
      <c r="F180"/>
    </row>
    <row r="181" spans="1:6" x14ac:dyDescent="0.25">
      <c r="A181" s="1">
        <v>179</v>
      </c>
      <c r="B181" s="2">
        <v>128.87</v>
      </c>
      <c r="C181" s="2">
        <v>3.05</v>
      </c>
      <c r="D181" s="2">
        <v>2.68</v>
      </c>
      <c r="E181"/>
      <c r="F181"/>
    </row>
    <row r="182" spans="1:6" x14ac:dyDescent="0.25">
      <c r="A182" s="1">
        <v>180</v>
      </c>
      <c r="B182" s="2">
        <v>129.35</v>
      </c>
      <c r="C182" s="2">
        <v>3.56</v>
      </c>
      <c r="D182" s="2">
        <v>3.83</v>
      </c>
      <c r="E182"/>
      <c r="F182"/>
    </row>
    <row r="183" spans="1:6" x14ac:dyDescent="0.25">
      <c r="A183" s="1">
        <v>181</v>
      </c>
      <c r="B183" s="2">
        <v>129.4</v>
      </c>
      <c r="C183" s="2">
        <v>3.37</v>
      </c>
      <c r="D183" s="2">
        <v>3.92</v>
      </c>
      <c r="E183"/>
      <c r="F183"/>
    </row>
    <row r="184" spans="1:6" x14ac:dyDescent="0.25">
      <c r="A184" s="1">
        <v>182</v>
      </c>
      <c r="B184" s="2">
        <v>128.71</v>
      </c>
      <c r="C184" s="2">
        <v>3.54</v>
      </c>
      <c r="D184" s="2">
        <v>4.53</v>
      </c>
      <c r="E184"/>
      <c r="F184"/>
    </row>
    <row r="185" spans="1:6" x14ac:dyDescent="0.25">
      <c r="A185" s="1">
        <v>183</v>
      </c>
      <c r="B185" s="2">
        <v>129.01</v>
      </c>
      <c r="C185" s="2">
        <v>3.78</v>
      </c>
      <c r="D185" s="2">
        <v>3.77</v>
      </c>
      <c r="E185"/>
      <c r="F185"/>
    </row>
    <row r="186" spans="1:6" x14ac:dyDescent="0.25">
      <c r="A186" s="1">
        <v>184</v>
      </c>
      <c r="B186" s="2">
        <v>128.87</v>
      </c>
      <c r="C186" s="2">
        <v>3.31</v>
      </c>
      <c r="D186" s="2">
        <v>3.44</v>
      </c>
      <c r="E186"/>
      <c r="F186"/>
    </row>
    <row r="187" spans="1:6" x14ac:dyDescent="0.25">
      <c r="A187" s="1">
        <v>185</v>
      </c>
      <c r="B187" s="2">
        <v>129.1</v>
      </c>
      <c r="C187" s="2">
        <v>3.51</v>
      </c>
      <c r="D187" s="2">
        <v>3.14</v>
      </c>
      <c r="E187"/>
      <c r="F187"/>
    </row>
    <row r="188" spans="1:6" x14ac:dyDescent="0.25">
      <c r="A188" s="1">
        <v>186</v>
      </c>
      <c r="B188" s="2">
        <v>129.21</v>
      </c>
      <c r="C188" s="2">
        <v>3.04</v>
      </c>
      <c r="D188" s="2">
        <v>3.59</v>
      </c>
      <c r="E188"/>
      <c r="F188"/>
    </row>
    <row r="189" spans="1:6" x14ac:dyDescent="0.25">
      <c r="A189" s="1">
        <v>187</v>
      </c>
      <c r="B189" s="2">
        <v>129.13999999999999</v>
      </c>
      <c r="C189" s="2">
        <v>4.1100000000000003</v>
      </c>
      <c r="D189" s="2">
        <v>3.49</v>
      </c>
      <c r="E189"/>
      <c r="F189"/>
    </row>
    <row r="190" spans="1:6" x14ac:dyDescent="0.25">
      <c r="A190" s="1">
        <v>188</v>
      </c>
      <c r="B190" s="2">
        <v>128.66</v>
      </c>
      <c r="C190" s="2">
        <v>3.21</v>
      </c>
      <c r="D190" s="2">
        <v>3.92</v>
      </c>
      <c r="E190"/>
      <c r="F190"/>
    </row>
    <row r="191" spans="1:6" x14ac:dyDescent="0.25">
      <c r="A191" s="1">
        <v>189</v>
      </c>
      <c r="B191" s="2">
        <v>128.76</v>
      </c>
      <c r="C191" s="2">
        <v>3.53</v>
      </c>
      <c r="D191" s="2">
        <v>4.21</v>
      </c>
      <c r="E191"/>
      <c r="F191"/>
    </row>
    <row r="192" spans="1:6" x14ac:dyDescent="0.25">
      <c r="A192" s="1">
        <v>190</v>
      </c>
      <c r="B192" s="2">
        <v>128.85</v>
      </c>
      <c r="C192" s="2">
        <v>4.4000000000000004</v>
      </c>
      <c r="D192" s="2">
        <v>3.23</v>
      </c>
      <c r="E192"/>
      <c r="F192"/>
    </row>
    <row r="193" spans="1:6" x14ac:dyDescent="0.25">
      <c r="A193" s="1">
        <v>191</v>
      </c>
      <c r="B193" s="2">
        <v>128.97</v>
      </c>
      <c r="C193" s="2">
        <v>4.5199999999999996</v>
      </c>
      <c r="D193" s="2">
        <v>3.45</v>
      </c>
      <c r="E193"/>
      <c r="F193"/>
    </row>
    <row r="194" spans="1:6" x14ac:dyDescent="0.25">
      <c r="A194" s="1">
        <v>192</v>
      </c>
      <c r="B194" s="2">
        <v>129.04</v>
      </c>
      <c r="C194" s="2">
        <v>3.08</v>
      </c>
      <c r="D194" s="2">
        <v>3.77</v>
      </c>
      <c r="E194"/>
      <c r="F194"/>
    </row>
    <row r="195" spans="1:6" x14ac:dyDescent="0.25">
      <c r="A195" s="1">
        <v>193</v>
      </c>
      <c r="B195" s="2">
        <v>128.9</v>
      </c>
      <c r="C195" s="2">
        <v>4</v>
      </c>
      <c r="D195" s="2">
        <v>3.52</v>
      </c>
      <c r="E195"/>
      <c r="F195"/>
    </row>
    <row r="196" spans="1:6" x14ac:dyDescent="0.25">
      <c r="A196" s="1">
        <v>194</v>
      </c>
      <c r="B196" s="2">
        <v>128.82</v>
      </c>
      <c r="C196" s="2">
        <v>3.84</v>
      </c>
      <c r="D196" s="2">
        <v>2.77</v>
      </c>
      <c r="E196"/>
      <c r="F196"/>
    </row>
    <row r="197" spans="1:6" x14ac:dyDescent="0.25">
      <c r="A197" s="1">
        <v>195</v>
      </c>
      <c r="B197" s="2">
        <v>128.13999999999999</v>
      </c>
      <c r="C197" s="2">
        <v>3.86</v>
      </c>
      <c r="D197" s="2">
        <v>3.96</v>
      </c>
      <c r="E197"/>
      <c r="F197"/>
    </row>
    <row r="198" spans="1:6" x14ac:dyDescent="0.25">
      <c r="A198" s="1">
        <v>196</v>
      </c>
      <c r="B198" s="2">
        <v>128.80000000000001</v>
      </c>
      <c r="C198" s="2">
        <v>3.57</v>
      </c>
      <c r="D198" s="2">
        <v>3.49</v>
      </c>
      <c r="E198"/>
      <c r="F198"/>
    </row>
    <row r="199" spans="1:6" x14ac:dyDescent="0.25">
      <c r="A199" s="1">
        <v>197</v>
      </c>
      <c r="B199" s="2">
        <v>128.36000000000001</v>
      </c>
      <c r="C199" s="2">
        <v>2.87</v>
      </c>
      <c r="D199" s="2">
        <v>3.85</v>
      </c>
      <c r="E199"/>
      <c r="F199"/>
    </row>
    <row r="200" spans="1:6" x14ac:dyDescent="0.25">
      <c r="A200" s="1">
        <v>198</v>
      </c>
      <c r="B200" s="2">
        <v>128.86000000000001</v>
      </c>
      <c r="C200" s="2">
        <v>3.3</v>
      </c>
      <c r="D200" s="2">
        <v>3.47</v>
      </c>
      <c r="E200"/>
      <c r="F200"/>
    </row>
    <row r="201" spans="1:6" x14ac:dyDescent="0.25">
      <c r="A201" s="1">
        <v>199</v>
      </c>
      <c r="B201" s="2">
        <v>128.68</v>
      </c>
      <c r="C201" s="2">
        <v>3.76</v>
      </c>
      <c r="D201" s="2">
        <v>2.58</v>
      </c>
      <c r="E201"/>
      <c r="F201"/>
    </row>
    <row r="202" spans="1:6" x14ac:dyDescent="0.25">
      <c r="A202" s="1">
        <v>200</v>
      </c>
      <c r="B202" s="2">
        <v>129.02000000000001</v>
      </c>
      <c r="C202" s="2">
        <v>3.77</v>
      </c>
      <c r="D202" s="2">
        <v>4.21</v>
      </c>
      <c r="E202"/>
      <c r="F202"/>
    </row>
    <row r="203" spans="1:6" x14ac:dyDescent="0.25">
      <c r="A203" s="1">
        <v>201</v>
      </c>
      <c r="B203" s="2">
        <v>129.09</v>
      </c>
      <c r="C203" s="2">
        <v>3.78</v>
      </c>
      <c r="D203" s="2">
        <v>4.4000000000000004</v>
      </c>
      <c r="E203"/>
      <c r="F203"/>
    </row>
    <row r="204" spans="1:6" x14ac:dyDescent="0.25">
      <c r="A204" s="1">
        <v>202</v>
      </c>
      <c r="B204" s="2">
        <v>116.36</v>
      </c>
      <c r="C204" s="2">
        <v>8.5</v>
      </c>
      <c r="D204" s="2">
        <v>7.97</v>
      </c>
      <c r="E204"/>
      <c r="F204"/>
    </row>
    <row r="205" spans="1:6" x14ac:dyDescent="0.25">
      <c r="A205" s="1">
        <v>203</v>
      </c>
      <c r="B205" s="2">
        <v>116.76</v>
      </c>
      <c r="C205" s="2">
        <v>5.59</v>
      </c>
      <c r="D205" s="2">
        <v>23.36</v>
      </c>
      <c r="E205"/>
      <c r="F205"/>
    </row>
    <row r="206" spans="1:6" x14ac:dyDescent="0.25">
      <c r="A206" s="1">
        <v>204</v>
      </c>
      <c r="B206" s="2">
        <v>129.24</v>
      </c>
      <c r="C206" s="2">
        <v>3.32</v>
      </c>
      <c r="D206" s="2">
        <v>3.89</v>
      </c>
      <c r="E206"/>
      <c r="F206"/>
    </row>
    <row r="207" spans="1:6" x14ac:dyDescent="0.25">
      <c r="A207" s="1">
        <v>205</v>
      </c>
      <c r="B207" s="2">
        <v>129.63999999999999</v>
      </c>
      <c r="C207" s="2">
        <v>3.58</v>
      </c>
      <c r="D207" s="2">
        <v>3.89</v>
      </c>
      <c r="E207"/>
      <c r="F207"/>
    </row>
    <row r="208" spans="1:6" x14ac:dyDescent="0.25">
      <c r="A208" s="1">
        <v>206</v>
      </c>
      <c r="B208" s="2">
        <v>129.15</v>
      </c>
      <c r="C208" s="2">
        <v>3.96</v>
      </c>
      <c r="D208" s="2">
        <v>3.02</v>
      </c>
      <c r="E208"/>
      <c r="F208"/>
    </row>
    <row r="209" spans="1:6" x14ac:dyDescent="0.25">
      <c r="A209" s="1">
        <v>207</v>
      </c>
      <c r="B209" s="2">
        <v>129.63999999999999</v>
      </c>
      <c r="C209" s="2">
        <v>3.86</v>
      </c>
      <c r="D209" s="2">
        <v>3.87</v>
      </c>
      <c r="E209"/>
      <c r="F209"/>
    </row>
    <row r="210" spans="1:6" x14ac:dyDescent="0.25">
      <c r="A210" s="1">
        <v>208</v>
      </c>
      <c r="B210" s="2">
        <v>128.91999999999999</v>
      </c>
      <c r="C210" s="2">
        <v>3.12</v>
      </c>
      <c r="D210" s="2">
        <v>3.57</v>
      </c>
      <c r="E210"/>
      <c r="F210"/>
    </row>
    <row r="211" spans="1:6" x14ac:dyDescent="0.25">
      <c r="A211" s="1">
        <v>209</v>
      </c>
      <c r="B211" s="2">
        <v>114.26</v>
      </c>
      <c r="C211" s="2">
        <v>5.2</v>
      </c>
      <c r="D211" s="2">
        <v>8.66</v>
      </c>
      <c r="E211"/>
      <c r="F211"/>
    </row>
    <row r="212" spans="1:6" x14ac:dyDescent="0.25">
      <c r="A212" s="1">
        <v>210</v>
      </c>
      <c r="B212" s="2">
        <v>114.51</v>
      </c>
      <c r="C212" s="2">
        <v>7.43</v>
      </c>
      <c r="D212" s="2">
        <v>7.27</v>
      </c>
      <c r="E212"/>
      <c r="F212"/>
    </row>
    <row r="213" spans="1:6" x14ac:dyDescent="0.25">
      <c r="A213" s="1">
        <v>211</v>
      </c>
      <c r="B213" s="2">
        <v>115.48</v>
      </c>
      <c r="C213" s="2">
        <v>4.8899999999999997</v>
      </c>
      <c r="D213" s="2">
        <v>8.9</v>
      </c>
      <c r="E213"/>
      <c r="F213"/>
    </row>
    <row r="214" spans="1:6" x14ac:dyDescent="0.25">
      <c r="A214" s="1">
        <v>212</v>
      </c>
      <c r="B214" s="2">
        <v>114.52</v>
      </c>
      <c r="C214" s="2">
        <v>7.71</v>
      </c>
      <c r="D214" s="2">
        <v>8.9600000000000009</v>
      </c>
      <c r="E214"/>
      <c r="F214"/>
    </row>
    <row r="215" spans="1:6" x14ac:dyDescent="0.25">
      <c r="A215" s="1">
        <v>213</v>
      </c>
      <c r="B215" s="2">
        <v>114.84</v>
      </c>
      <c r="C215" s="2">
        <v>8.3800000000000008</v>
      </c>
      <c r="D215" s="2">
        <v>9.77</v>
      </c>
      <c r="E215"/>
      <c r="F215"/>
    </row>
    <row r="216" spans="1:6" x14ac:dyDescent="0.25">
      <c r="A216" s="1">
        <v>214</v>
      </c>
      <c r="B216" s="2">
        <v>114.94</v>
      </c>
      <c r="C216" s="2">
        <v>8</v>
      </c>
      <c r="D216" s="2">
        <v>8.57</v>
      </c>
      <c r="E216"/>
      <c r="F216"/>
    </row>
    <row r="217" spans="1:6" x14ac:dyDescent="0.25">
      <c r="A217" s="1">
        <v>215</v>
      </c>
      <c r="B217" s="2">
        <v>129.18</v>
      </c>
      <c r="C217" s="2">
        <v>4.21</v>
      </c>
      <c r="D217" s="2">
        <v>2.99</v>
      </c>
      <c r="E217"/>
      <c r="F217"/>
    </row>
    <row r="218" spans="1:6" x14ac:dyDescent="0.25">
      <c r="A218" s="1">
        <v>216</v>
      </c>
      <c r="B218" s="2">
        <v>115.26</v>
      </c>
      <c r="C218" s="2">
        <v>8.42</v>
      </c>
      <c r="D218" s="2">
        <v>12.11</v>
      </c>
      <c r="E218"/>
      <c r="F218"/>
    </row>
    <row r="219" spans="1:6" x14ac:dyDescent="0.25">
      <c r="A219" s="1">
        <v>217</v>
      </c>
      <c r="B219" s="2">
        <v>129.07</v>
      </c>
      <c r="C219" s="2">
        <v>4.21</v>
      </c>
      <c r="D219" s="2">
        <v>3.91</v>
      </c>
      <c r="E219"/>
      <c r="F219"/>
    </row>
    <row r="220" spans="1:6" x14ac:dyDescent="0.25">
      <c r="A220" s="1">
        <v>218</v>
      </c>
      <c r="B220" s="2">
        <v>114.6</v>
      </c>
      <c r="C220" s="2">
        <v>5.49</v>
      </c>
      <c r="D220" s="2">
        <v>9.2200000000000006</v>
      </c>
      <c r="E220"/>
      <c r="F220"/>
    </row>
    <row r="221" spans="1:6" x14ac:dyDescent="0.25">
      <c r="A221" s="1">
        <v>219</v>
      </c>
      <c r="B221" s="2">
        <v>116.19</v>
      </c>
      <c r="C221" s="2">
        <v>7.99</v>
      </c>
      <c r="D221" s="2">
        <v>9.7100000000000009</v>
      </c>
      <c r="E221"/>
      <c r="F221"/>
    </row>
    <row r="222" spans="1:6" x14ac:dyDescent="0.25">
      <c r="A222" s="1">
        <v>220</v>
      </c>
      <c r="B222" s="2">
        <v>116.54</v>
      </c>
      <c r="C222" s="2">
        <v>7.41</v>
      </c>
      <c r="D222" s="2">
        <v>9.5299999999999994</v>
      </c>
      <c r="E222"/>
      <c r="F222"/>
    </row>
    <row r="223" spans="1:6" x14ac:dyDescent="0.25">
      <c r="A223" s="1">
        <v>221</v>
      </c>
      <c r="B223" s="2">
        <v>116.49</v>
      </c>
      <c r="C223" s="2">
        <v>5.64</v>
      </c>
      <c r="D223" s="2">
        <v>8.11</v>
      </c>
      <c r="E223"/>
      <c r="F223"/>
    </row>
    <row r="224" spans="1:6" x14ac:dyDescent="0.25">
      <c r="A224" s="1">
        <v>222</v>
      </c>
      <c r="B224" s="2">
        <v>114.17</v>
      </c>
      <c r="C224" s="2">
        <v>7.63</v>
      </c>
      <c r="D224" s="2">
        <v>9.59</v>
      </c>
      <c r="E224"/>
      <c r="F224"/>
    </row>
    <row r="225" spans="1:6" x14ac:dyDescent="0.25">
      <c r="A225" s="1">
        <v>223</v>
      </c>
      <c r="B225" s="2">
        <v>128.63</v>
      </c>
      <c r="C225" s="2">
        <v>3.38</v>
      </c>
      <c r="D225" s="2">
        <v>3.7</v>
      </c>
      <c r="E225"/>
      <c r="F225"/>
    </row>
    <row r="226" spans="1:6" x14ac:dyDescent="0.25">
      <c r="A226" s="1">
        <v>224</v>
      </c>
      <c r="B226" s="2">
        <v>128.66999999999999</v>
      </c>
      <c r="C226" s="2">
        <v>4.72</v>
      </c>
      <c r="D226" s="2">
        <v>3.39</v>
      </c>
      <c r="E226"/>
      <c r="F226"/>
    </row>
    <row r="227" spans="1:6" x14ac:dyDescent="0.25">
      <c r="A227" s="1">
        <v>225</v>
      </c>
      <c r="B227" s="2">
        <v>128.74</v>
      </c>
      <c r="C227" s="2">
        <v>3.37</v>
      </c>
      <c r="D227" s="2">
        <v>3.57</v>
      </c>
      <c r="E227"/>
      <c r="F227"/>
    </row>
    <row r="228" spans="1:6" x14ac:dyDescent="0.25">
      <c r="A228" s="1">
        <v>226</v>
      </c>
      <c r="B228" s="2">
        <v>128.59</v>
      </c>
      <c r="C228" s="2">
        <v>3.81</v>
      </c>
      <c r="D228" s="2">
        <v>2.6</v>
      </c>
      <c r="E228"/>
      <c r="F228"/>
    </row>
    <row r="229" spans="1:6" x14ac:dyDescent="0.25">
      <c r="A229" s="1">
        <v>227</v>
      </c>
      <c r="B229" s="2">
        <v>129.47999999999999</v>
      </c>
      <c r="C229" s="2">
        <v>3.9</v>
      </c>
      <c r="D229" s="2">
        <v>2.93</v>
      </c>
      <c r="E229"/>
      <c r="F229"/>
    </row>
    <row r="230" spans="1:6" x14ac:dyDescent="0.25">
      <c r="A230" s="1">
        <v>228</v>
      </c>
      <c r="B230" s="2">
        <v>129.56</v>
      </c>
      <c r="C230" s="2">
        <v>3.79</v>
      </c>
      <c r="D230" s="2">
        <v>2.96</v>
      </c>
      <c r="E230"/>
      <c r="F230"/>
    </row>
    <row r="231" spans="1:6" x14ac:dyDescent="0.25">
      <c r="A231" s="1">
        <v>229</v>
      </c>
      <c r="B231" s="2">
        <v>115.06</v>
      </c>
      <c r="C231" s="2">
        <v>8.81</v>
      </c>
      <c r="D231" s="2">
        <v>8.2200000000000006</v>
      </c>
      <c r="E231"/>
      <c r="F231"/>
    </row>
    <row r="232" spans="1:6" x14ac:dyDescent="0.25">
      <c r="A232" s="1">
        <v>230</v>
      </c>
      <c r="B232" s="2">
        <v>113.55</v>
      </c>
      <c r="C232" s="2">
        <v>8.1300000000000008</v>
      </c>
      <c r="D232" s="2">
        <v>9.33</v>
      </c>
      <c r="E232"/>
      <c r="F232"/>
    </row>
    <row r="233" spans="1:6" x14ac:dyDescent="0.25">
      <c r="A233" s="1">
        <v>231</v>
      </c>
      <c r="B233" s="2">
        <v>129.1</v>
      </c>
      <c r="C233" s="2">
        <v>4.5</v>
      </c>
      <c r="D233" s="2">
        <v>3.56</v>
      </c>
      <c r="E233"/>
      <c r="F233"/>
    </row>
    <row r="234" spans="1:6" x14ac:dyDescent="0.25">
      <c r="A234" s="1">
        <v>232</v>
      </c>
      <c r="B234" s="2">
        <v>116.28</v>
      </c>
      <c r="C234" s="2">
        <v>4.72</v>
      </c>
      <c r="D234" s="2">
        <v>8.4</v>
      </c>
      <c r="E234"/>
      <c r="F234"/>
    </row>
    <row r="235" spans="1:6" x14ac:dyDescent="0.25">
      <c r="A235" s="1">
        <v>233</v>
      </c>
      <c r="B235" s="2">
        <v>129.1</v>
      </c>
      <c r="C235" s="2">
        <v>3.87</v>
      </c>
      <c r="D235" s="2">
        <v>3.11</v>
      </c>
      <c r="E235"/>
      <c r="F235"/>
    </row>
    <row r="236" spans="1:6" x14ac:dyDescent="0.25">
      <c r="A236" s="1">
        <v>234</v>
      </c>
      <c r="B236" s="2">
        <v>114.2</v>
      </c>
      <c r="C236" s="2">
        <v>8.76</v>
      </c>
      <c r="D236" s="2">
        <v>10.65</v>
      </c>
      <c r="E236"/>
      <c r="F236"/>
    </row>
    <row r="237" spans="1:6" x14ac:dyDescent="0.25">
      <c r="A237" s="1">
        <v>235</v>
      </c>
      <c r="B237" s="2">
        <v>128.96</v>
      </c>
      <c r="C237" s="2">
        <v>3.4</v>
      </c>
      <c r="D237" s="2">
        <v>4.21</v>
      </c>
      <c r="E237"/>
      <c r="F237"/>
    </row>
    <row r="238" spans="1:6" x14ac:dyDescent="0.25">
      <c r="A238" s="1">
        <v>236</v>
      </c>
      <c r="B238" s="2">
        <v>113.97</v>
      </c>
      <c r="C238" s="2">
        <v>9.09</v>
      </c>
      <c r="D238" s="2">
        <v>8.3000000000000007</v>
      </c>
      <c r="E238"/>
      <c r="F238"/>
    </row>
    <row r="239" spans="1:6" x14ac:dyDescent="0.25">
      <c r="A239" s="1">
        <v>237</v>
      </c>
      <c r="B239" s="2">
        <v>128.72</v>
      </c>
      <c r="C239" s="2">
        <v>3.82</v>
      </c>
      <c r="D239" s="2">
        <v>3.86</v>
      </c>
      <c r="E239"/>
      <c r="F239"/>
    </row>
    <row r="240" spans="1:6" x14ac:dyDescent="0.25">
      <c r="A240" s="1">
        <v>238</v>
      </c>
      <c r="B240" s="2">
        <v>129.12</v>
      </c>
      <c r="C240" s="2">
        <v>4</v>
      </c>
      <c r="D240" s="2">
        <v>1.88</v>
      </c>
      <c r="E240"/>
      <c r="F240"/>
    </row>
    <row r="241" spans="1:6" x14ac:dyDescent="0.25">
      <c r="A241" s="1">
        <v>239</v>
      </c>
      <c r="B241" s="2">
        <v>128.85</v>
      </c>
      <c r="C241" s="2">
        <v>3.58</v>
      </c>
      <c r="D241" s="2">
        <v>3.72</v>
      </c>
      <c r="E241"/>
      <c r="F241"/>
    </row>
    <row r="242" spans="1:6" x14ac:dyDescent="0.25">
      <c r="A242" s="1">
        <v>240</v>
      </c>
      <c r="B242" s="2">
        <v>128.68</v>
      </c>
      <c r="C242" s="2">
        <v>3.69</v>
      </c>
      <c r="D242" s="2">
        <v>3.37</v>
      </c>
      <c r="E242"/>
      <c r="F242"/>
    </row>
    <row r="243" spans="1:6" x14ac:dyDescent="0.25">
      <c r="A243" s="1">
        <v>241</v>
      </c>
      <c r="B243" s="2">
        <v>129</v>
      </c>
      <c r="C243" s="2">
        <v>3.26</v>
      </c>
      <c r="D243" s="2">
        <v>3.06</v>
      </c>
      <c r="E243"/>
      <c r="F243"/>
    </row>
    <row r="244" spans="1:6" x14ac:dyDescent="0.25">
      <c r="A244" s="1">
        <v>242</v>
      </c>
      <c r="B244" s="2">
        <v>128.69999999999999</v>
      </c>
      <c r="C244" s="2">
        <v>2.89</v>
      </c>
      <c r="D244" s="2">
        <v>4.17</v>
      </c>
      <c r="E244"/>
      <c r="F244"/>
    </row>
    <row r="245" spans="1:6" x14ac:dyDescent="0.25">
      <c r="A245" s="1">
        <v>243</v>
      </c>
      <c r="B245" s="2">
        <v>128.82</v>
      </c>
      <c r="C245" s="2">
        <v>3.85</v>
      </c>
      <c r="D245" s="2">
        <v>3.36</v>
      </c>
      <c r="E245"/>
      <c r="F245"/>
    </row>
    <row r="246" spans="1:6" x14ac:dyDescent="0.25">
      <c r="A246" s="1">
        <v>244</v>
      </c>
      <c r="B246" s="2">
        <v>128.97</v>
      </c>
      <c r="C246" s="2">
        <v>2.65</v>
      </c>
      <c r="D246" s="2">
        <v>3.15</v>
      </c>
      <c r="E246"/>
      <c r="F246"/>
    </row>
    <row r="247" spans="1:6" x14ac:dyDescent="0.25">
      <c r="A247" s="1">
        <v>245</v>
      </c>
      <c r="B247" s="2">
        <v>128.49</v>
      </c>
      <c r="C247" s="2">
        <v>3.05</v>
      </c>
      <c r="D247" s="2">
        <v>3.33</v>
      </c>
      <c r="E247"/>
      <c r="F247"/>
    </row>
    <row r="248" spans="1:6" x14ac:dyDescent="0.25">
      <c r="A248" s="1">
        <v>246</v>
      </c>
      <c r="B248" s="2">
        <v>128.59</v>
      </c>
      <c r="C248" s="2">
        <v>3.12</v>
      </c>
      <c r="D248" s="2">
        <v>3.87</v>
      </c>
      <c r="E248"/>
      <c r="F248"/>
    </row>
    <row r="249" spans="1:6" x14ac:dyDescent="0.25">
      <c r="A249" s="1">
        <v>247</v>
      </c>
      <c r="B249" s="2">
        <v>128.9</v>
      </c>
      <c r="C249" s="2">
        <v>2.7</v>
      </c>
      <c r="D249" s="2">
        <v>3.89</v>
      </c>
      <c r="E249"/>
      <c r="F249"/>
    </row>
    <row r="250" spans="1:6" x14ac:dyDescent="0.25">
      <c r="A250" s="1">
        <v>248</v>
      </c>
      <c r="B250" s="2">
        <v>128.63</v>
      </c>
      <c r="C250" s="2">
        <v>3.11</v>
      </c>
      <c r="D250" s="2">
        <v>4.46</v>
      </c>
      <c r="E250"/>
      <c r="F250"/>
    </row>
    <row r="251" spans="1:6" x14ac:dyDescent="0.25">
      <c r="A251" s="1">
        <v>249</v>
      </c>
      <c r="B251" s="2">
        <v>128.61000000000001</v>
      </c>
      <c r="C251" s="2">
        <v>4.63</v>
      </c>
      <c r="D251" s="2">
        <v>4.1500000000000004</v>
      </c>
      <c r="E251"/>
      <c r="F251"/>
    </row>
    <row r="252" spans="1:6" x14ac:dyDescent="0.25">
      <c r="A252" s="1">
        <v>250</v>
      </c>
      <c r="B252" s="2">
        <v>128.47</v>
      </c>
      <c r="C252" s="2">
        <v>3.74</v>
      </c>
      <c r="D252" s="2">
        <v>3.84</v>
      </c>
      <c r="E252"/>
      <c r="F252"/>
    </row>
    <row r="253" spans="1:6" x14ac:dyDescent="0.25">
      <c r="A253" s="1">
        <v>251</v>
      </c>
      <c r="B253" s="2">
        <v>129.56</v>
      </c>
      <c r="C253" s="2">
        <v>3.58</v>
      </c>
      <c r="D253" s="2">
        <v>3.62</v>
      </c>
      <c r="E253"/>
      <c r="F253"/>
    </row>
    <row r="254" spans="1:6" x14ac:dyDescent="0.25">
      <c r="A254" s="1">
        <v>252</v>
      </c>
      <c r="B254" s="2">
        <v>129.01</v>
      </c>
      <c r="C254" s="2">
        <v>3.01</v>
      </c>
      <c r="D254" s="2">
        <v>4.3600000000000003</v>
      </c>
      <c r="E254"/>
      <c r="F254"/>
    </row>
    <row r="255" spans="1:6" x14ac:dyDescent="0.25">
      <c r="A255" s="1">
        <v>253</v>
      </c>
      <c r="B255" s="2">
        <v>116.59</v>
      </c>
      <c r="C255" s="2">
        <v>5.24</v>
      </c>
      <c r="D255" s="2">
        <v>9.65</v>
      </c>
      <c r="E255"/>
      <c r="F255"/>
    </row>
    <row r="256" spans="1:6" x14ac:dyDescent="0.25">
      <c r="A256" s="1">
        <v>254</v>
      </c>
      <c r="B256" s="2">
        <v>129.49</v>
      </c>
      <c r="C256" s="2">
        <v>2.8</v>
      </c>
      <c r="D256" s="2">
        <v>3.37</v>
      </c>
      <c r="E256"/>
      <c r="F256"/>
    </row>
    <row r="257" spans="1:6" x14ac:dyDescent="0.25">
      <c r="A257" s="1">
        <v>255</v>
      </c>
      <c r="B257" s="2">
        <v>114.88</v>
      </c>
      <c r="C257" s="2">
        <v>4.88</v>
      </c>
      <c r="D257" s="2">
        <v>9.6999999999999993</v>
      </c>
      <c r="E257"/>
      <c r="F257"/>
    </row>
    <row r="258" spans="1:6" x14ac:dyDescent="0.25">
      <c r="A258" s="1">
        <v>256</v>
      </c>
      <c r="B258" s="2">
        <v>129.55000000000001</v>
      </c>
      <c r="C258" s="2">
        <v>3.93</v>
      </c>
      <c r="D258" s="2">
        <v>3.18</v>
      </c>
      <c r="E258"/>
      <c r="F258"/>
    </row>
    <row r="259" spans="1:6" x14ac:dyDescent="0.25">
      <c r="A259" s="1">
        <v>257</v>
      </c>
      <c r="B259" s="2">
        <v>129.44</v>
      </c>
      <c r="C259" s="2">
        <v>3.53</v>
      </c>
      <c r="D259" s="2">
        <v>3.48</v>
      </c>
      <c r="E259"/>
      <c r="F259"/>
    </row>
    <row r="260" spans="1:6" x14ac:dyDescent="0.25">
      <c r="A260" s="1">
        <v>258</v>
      </c>
      <c r="B260" s="2">
        <v>128.99</v>
      </c>
      <c r="C260" s="2">
        <v>3.45</v>
      </c>
      <c r="D260" s="2">
        <v>3.48</v>
      </c>
      <c r="E260"/>
      <c r="F260"/>
    </row>
    <row r="261" spans="1:6" x14ac:dyDescent="0.25">
      <c r="A261" s="1">
        <v>259</v>
      </c>
      <c r="B261" s="2">
        <v>113.88</v>
      </c>
      <c r="C261" s="2">
        <v>7.67</v>
      </c>
      <c r="D261" s="2">
        <v>9.4</v>
      </c>
      <c r="E261"/>
      <c r="F261"/>
    </row>
    <row r="262" spans="1:6" x14ac:dyDescent="0.25">
      <c r="A262" s="1">
        <v>260</v>
      </c>
      <c r="B262" s="2">
        <v>117.51</v>
      </c>
      <c r="C262" s="2">
        <v>3.68</v>
      </c>
      <c r="D262" s="2">
        <v>6.8</v>
      </c>
      <c r="E262"/>
      <c r="F262"/>
    </row>
    <row r="263" spans="1:6" x14ac:dyDescent="0.25">
      <c r="A263" s="1">
        <v>261</v>
      </c>
      <c r="B263" s="2">
        <v>116.63</v>
      </c>
      <c r="C263" s="2">
        <v>5.21</v>
      </c>
      <c r="D263" s="2">
        <v>6.96</v>
      </c>
      <c r="E263"/>
      <c r="F263"/>
    </row>
    <row r="264" spans="1:6" x14ac:dyDescent="0.25">
      <c r="A264" s="1">
        <v>262</v>
      </c>
      <c r="B264" s="2">
        <v>128.94</v>
      </c>
      <c r="C264" s="2">
        <v>3.45</v>
      </c>
      <c r="D264" s="2">
        <v>3.14</v>
      </c>
      <c r="E264"/>
      <c r="F264"/>
    </row>
    <row r="265" spans="1:6" x14ac:dyDescent="0.25">
      <c r="A265" s="1">
        <v>263</v>
      </c>
      <c r="B265" s="2">
        <v>129.05000000000001</v>
      </c>
      <c r="C265" s="2">
        <v>3.7</v>
      </c>
      <c r="D265" s="2">
        <v>3.1</v>
      </c>
      <c r="E265"/>
      <c r="F265"/>
    </row>
    <row r="266" spans="1:6" x14ac:dyDescent="0.25">
      <c r="A266" s="1">
        <v>264</v>
      </c>
      <c r="B266" s="2">
        <v>116.8</v>
      </c>
      <c r="C266" s="2">
        <v>5.21</v>
      </c>
      <c r="D266" s="2">
        <v>8.7799999999999994</v>
      </c>
      <c r="E266"/>
      <c r="F266"/>
    </row>
    <row r="267" spans="1:6" x14ac:dyDescent="0.25">
      <c r="A267" s="1">
        <v>265</v>
      </c>
      <c r="B267" s="2">
        <v>116.08</v>
      </c>
      <c r="C267" s="2">
        <v>4.3099999999999996</v>
      </c>
      <c r="D267" s="2">
        <v>8.93</v>
      </c>
      <c r="E267"/>
      <c r="F267"/>
    </row>
    <row r="268" spans="1:6" x14ac:dyDescent="0.25">
      <c r="A268" s="1">
        <v>266</v>
      </c>
      <c r="B268" s="2">
        <v>128.78</v>
      </c>
      <c r="C268" s="2">
        <v>3.02</v>
      </c>
      <c r="D268" s="2">
        <v>3.64</v>
      </c>
      <c r="E268"/>
      <c r="F268"/>
    </row>
    <row r="269" spans="1:6" x14ac:dyDescent="0.25">
      <c r="A269" s="1">
        <v>267</v>
      </c>
      <c r="B269" s="2">
        <v>128.66</v>
      </c>
      <c r="C269" s="2">
        <v>3.31</v>
      </c>
      <c r="D269" s="2">
        <v>2.94</v>
      </c>
      <c r="E269"/>
      <c r="F269"/>
    </row>
    <row r="270" spans="1:6" x14ac:dyDescent="0.25">
      <c r="A270" s="1">
        <v>268</v>
      </c>
      <c r="B270" s="2">
        <v>118.46</v>
      </c>
      <c r="C270" s="2">
        <v>6.77</v>
      </c>
      <c r="D270" s="2">
        <v>28.36</v>
      </c>
      <c r="E270"/>
      <c r="F270"/>
    </row>
    <row r="271" spans="1:6" x14ac:dyDescent="0.25">
      <c r="A271" s="1">
        <v>269</v>
      </c>
      <c r="B271" s="2">
        <v>128.9</v>
      </c>
      <c r="C271" s="2">
        <v>3.17</v>
      </c>
      <c r="D271" s="2">
        <v>3.05</v>
      </c>
      <c r="E271"/>
      <c r="F271"/>
    </row>
    <row r="272" spans="1:6" x14ac:dyDescent="0.25">
      <c r="A272" s="1">
        <v>270</v>
      </c>
      <c r="B272" s="2">
        <v>129.22999999999999</v>
      </c>
      <c r="C272" s="2">
        <v>3.11</v>
      </c>
      <c r="D272" s="2">
        <v>2.84</v>
      </c>
      <c r="E272"/>
      <c r="F272"/>
    </row>
    <row r="273" spans="1:6" x14ac:dyDescent="0.25">
      <c r="A273" s="1">
        <v>271</v>
      </c>
      <c r="B273" s="2">
        <v>128.65</v>
      </c>
      <c r="C273" s="2">
        <v>4.0999999999999996</v>
      </c>
      <c r="D273" s="2">
        <v>3</v>
      </c>
      <c r="E273"/>
      <c r="F273"/>
    </row>
    <row r="274" spans="1:6" x14ac:dyDescent="0.25">
      <c r="A274" s="1">
        <v>272</v>
      </c>
      <c r="B274" s="2">
        <v>129.06</v>
      </c>
      <c r="C274" s="2">
        <v>3.33</v>
      </c>
      <c r="D274" s="2">
        <v>3.38</v>
      </c>
      <c r="E274"/>
      <c r="F274"/>
    </row>
    <row r="275" spans="1:6" x14ac:dyDescent="0.25">
      <c r="A275" s="1">
        <v>273</v>
      </c>
      <c r="B275" s="2">
        <v>129.11000000000001</v>
      </c>
      <c r="C275" s="2">
        <v>4.24</v>
      </c>
      <c r="D275" s="2">
        <v>2.87</v>
      </c>
      <c r="E275"/>
      <c r="F275"/>
    </row>
    <row r="276" spans="1:6" x14ac:dyDescent="0.25">
      <c r="A276" s="1">
        <v>274</v>
      </c>
      <c r="B276" s="2">
        <v>128.5</v>
      </c>
      <c r="C276" s="2">
        <v>3.05</v>
      </c>
      <c r="D276" s="2">
        <v>3.02</v>
      </c>
      <c r="E276"/>
      <c r="F276"/>
    </row>
    <row r="277" spans="1:6" x14ac:dyDescent="0.25">
      <c r="A277" s="1">
        <v>275</v>
      </c>
      <c r="B277" s="2">
        <v>128.35</v>
      </c>
      <c r="C277" s="2">
        <v>3.42</v>
      </c>
      <c r="D277" s="2">
        <v>3.27</v>
      </c>
      <c r="E277"/>
      <c r="F277"/>
    </row>
    <row r="278" spans="1:6" x14ac:dyDescent="0.25">
      <c r="A278" s="1">
        <v>276</v>
      </c>
      <c r="B278" s="2">
        <v>129.19</v>
      </c>
      <c r="C278" s="2">
        <v>2.92</v>
      </c>
      <c r="D278" s="2">
        <v>3.64</v>
      </c>
      <c r="E278"/>
      <c r="F278"/>
    </row>
    <row r="279" spans="1:6" x14ac:dyDescent="0.25">
      <c r="A279" s="1">
        <v>277</v>
      </c>
      <c r="B279" s="2">
        <v>129.37</v>
      </c>
      <c r="C279" s="2">
        <v>3.5</v>
      </c>
      <c r="D279" s="2">
        <v>3.26</v>
      </c>
      <c r="E279"/>
      <c r="F279"/>
    </row>
    <row r="280" spans="1:6" x14ac:dyDescent="0.25">
      <c r="A280" s="1">
        <v>278</v>
      </c>
      <c r="B280" s="2">
        <v>154.16</v>
      </c>
      <c r="C280" s="2">
        <v>2.5</v>
      </c>
      <c r="D280" s="2">
        <v>9.41</v>
      </c>
      <c r="E280"/>
      <c r="F280"/>
    </row>
    <row r="281" spans="1:6" x14ac:dyDescent="0.25">
      <c r="A281" s="1">
        <v>279</v>
      </c>
      <c r="B281" s="2">
        <v>129.25</v>
      </c>
      <c r="C281" s="2">
        <v>3.37</v>
      </c>
      <c r="D281" s="2">
        <v>2.86</v>
      </c>
      <c r="E281"/>
      <c r="F281"/>
    </row>
    <row r="282" spans="1:6" x14ac:dyDescent="0.25">
      <c r="A282" s="1">
        <v>280</v>
      </c>
      <c r="B282" s="2">
        <v>129.41999999999999</v>
      </c>
      <c r="C282" s="2">
        <v>3</v>
      </c>
      <c r="D282" s="2">
        <v>3.12</v>
      </c>
      <c r="E282"/>
      <c r="F282"/>
    </row>
    <row r="283" spans="1:6" x14ac:dyDescent="0.25">
      <c r="A283" s="1">
        <v>281</v>
      </c>
      <c r="B283" s="2">
        <v>129.29</v>
      </c>
      <c r="C283" s="2">
        <v>3.3</v>
      </c>
      <c r="D283" s="2">
        <v>2.92</v>
      </c>
      <c r="E283"/>
      <c r="F283"/>
    </row>
    <row r="284" spans="1:6" x14ac:dyDescent="0.25">
      <c r="A284" s="1">
        <v>282</v>
      </c>
      <c r="B284" s="2">
        <v>154.44999999999999</v>
      </c>
      <c r="C284" s="2">
        <v>3.3</v>
      </c>
      <c r="D284" s="2">
        <v>6.65</v>
      </c>
      <c r="E284"/>
      <c r="F284"/>
    </row>
    <row r="285" spans="1:6" x14ac:dyDescent="0.25">
      <c r="A285" s="1">
        <v>283</v>
      </c>
      <c r="B285" s="2">
        <v>129.13</v>
      </c>
      <c r="C285" s="2">
        <v>2.92</v>
      </c>
      <c r="D285" s="2">
        <v>3.18</v>
      </c>
      <c r="E285"/>
      <c r="F285"/>
    </row>
    <row r="286" spans="1:6" x14ac:dyDescent="0.25">
      <c r="A286" s="1">
        <v>284</v>
      </c>
      <c r="B286" s="2">
        <v>129.47999999999999</v>
      </c>
      <c r="C286" s="2">
        <v>3.18</v>
      </c>
      <c r="D286" s="2">
        <v>2.62</v>
      </c>
      <c r="E286"/>
      <c r="F286"/>
    </row>
    <row r="287" spans="1:6" x14ac:dyDescent="0.25">
      <c r="A287" s="1">
        <v>285</v>
      </c>
      <c r="B287" s="2">
        <v>155.27000000000001</v>
      </c>
      <c r="C287" s="2">
        <v>3.21</v>
      </c>
      <c r="D287" s="2">
        <v>8.09</v>
      </c>
      <c r="E287"/>
      <c r="F287"/>
    </row>
    <row r="288" spans="1:6" x14ac:dyDescent="0.25">
      <c r="A288" s="1">
        <v>286</v>
      </c>
      <c r="B288" s="2">
        <v>128.87</v>
      </c>
      <c r="C288" s="2">
        <v>2.88</v>
      </c>
      <c r="D288" s="2">
        <v>4.26</v>
      </c>
      <c r="E288"/>
      <c r="F288"/>
    </row>
    <row r="289" spans="1:6" x14ac:dyDescent="0.25">
      <c r="A289" s="1">
        <v>287</v>
      </c>
      <c r="B289" s="2">
        <v>154.47999999999999</v>
      </c>
      <c r="C289" s="2">
        <v>2.54</v>
      </c>
      <c r="D289" s="2">
        <v>8.77</v>
      </c>
      <c r="E289"/>
      <c r="F289"/>
    </row>
    <row r="290" spans="1:6" x14ac:dyDescent="0.25">
      <c r="A290" s="1">
        <v>288</v>
      </c>
      <c r="B290" s="2">
        <v>154.24</v>
      </c>
      <c r="C290" s="2">
        <v>2.93</v>
      </c>
      <c r="D290" s="2">
        <v>7.7</v>
      </c>
      <c r="E290"/>
      <c r="F290"/>
    </row>
    <row r="291" spans="1:6" x14ac:dyDescent="0.25">
      <c r="A291" s="1">
        <v>289</v>
      </c>
      <c r="B291" s="2">
        <v>155</v>
      </c>
      <c r="C291" s="2">
        <v>3.03</v>
      </c>
      <c r="D291" s="2">
        <v>8.18</v>
      </c>
      <c r="E291"/>
      <c r="F291"/>
    </row>
    <row r="292" spans="1:6" x14ac:dyDescent="0.25">
      <c r="A292" s="1">
        <v>290</v>
      </c>
      <c r="B292" s="2">
        <v>129.80000000000001</v>
      </c>
      <c r="C292" s="2">
        <v>3.07</v>
      </c>
      <c r="D292" s="2">
        <v>3.27</v>
      </c>
      <c r="E292"/>
      <c r="F292"/>
    </row>
    <row r="293" spans="1:6" x14ac:dyDescent="0.25">
      <c r="A293" s="1">
        <v>291</v>
      </c>
      <c r="B293" s="2">
        <v>154.59</v>
      </c>
      <c r="C293" s="2">
        <v>2.97</v>
      </c>
      <c r="D293" s="2">
        <v>8.82</v>
      </c>
      <c r="E293"/>
      <c r="F293"/>
    </row>
    <row r="294" spans="1:6" x14ac:dyDescent="0.25">
      <c r="A294" s="1">
        <v>292</v>
      </c>
      <c r="B294" s="2">
        <v>128.76</v>
      </c>
      <c r="C294" s="2">
        <v>3.78</v>
      </c>
      <c r="D294" s="2">
        <v>2.59</v>
      </c>
      <c r="E294"/>
      <c r="F294"/>
    </row>
    <row r="295" spans="1:6" x14ac:dyDescent="0.25">
      <c r="A295" s="1">
        <v>293</v>
      </c>
      <c r="B295" s="2">
        <v>153.5</v>
      </c>
      <c r="C295" s="2">
        <v>3.18</v>
      </c>
      <c r="D295" s="2">
        <v>9.43</v>
      </c>
      <c r="E295"/>
      <c r="F295"/>
    </row>
    <row r="296" spans="1:6" x14ac:dyDescent="0.25">
      <c r="A296" s="1">
        <v>294</v>
      </c>
      <c r="B296" s="2">
        <v>154.76</v>
      </c>
      <c r="C296" s="2">
        <v>3.34</v>
      </c>
      <c r="D296" s="2">
        <v>7.74</v>
      </c>
      <c r="E296"/>
      <c r="F296"/>
    </row>
    <row r="297" spans="1:6" x14ac:dyDescent="0.25">
      <c r="A297" s="1">
        <v>295</v>
      </c>
      <c r="B297" s="2">
        <v>128.87</v>
      </c>
      <c r="C297" s="2">
        <v>2.76</v>
      </c>
      <c r="D297" s="2">
        <v>3.38</v>
      </c>
      <c r="E297"/>
      <c r="F297"/>
    </row>
    <row r="298" spans="1:6" x14ac:dyDescent="0.25">
      <c r="A298" s="1">
        <v>296</v>
      </c>
      <c r="B298" s="2">
        <v>128.77000000000001</v>
      </c>
      <c r="C298" s="2">
        <v>2.44</v>
      </c>
      <c r="D298" s="2">
        <v>3.32</v>
      </c>
      <c r="E298"/>
      <c r="F298"/>
    </row>
    <row r="299" spans="1:6" x14ac:dyDescent="0.25">
      <c r="A299" s="1">
        <v>297</v>
      </c>
      <c r="B299" s="2">
        <v>129.57</v>
      </c>
      <c r="C299" s="2">
        <v>3.02</v>
      </c>
      <c r="D299" s="2">
        <v>2.4</v>
      </c>
      <c r="E299"/>
      <c r="F299"/>
    </row>
    <row r="300" spans="1:6" x14ac:dyDescent="0.25">
      <c r="A300" s="1">
        <v>298</v>
      </c>
      <c r="B300" s="2">
        <v>154.05000000000001</v>
      </c>
      <c r="C300" s="2">
        <v>2.4</v>
      </c>
      <c r="D300" s="2">
        <v>9.32</v>
      </c>
      <c r="E300"/>
      <c r="F300"/>
    </row>
    <row r="301" spans="1:6" x14ac:dyDescent="0.25">
      <c r="A301" s="1">
        <v>299</v>
      </c>
      <c r="B301" s="2">
        <v>154.47</v>
      </c>
      <c r="C301" s="2">
        <v>3.51</v>
      </c>
      <c r="D301" s="2">
        <v>7.79</v>
      </c>
      <c r="E301"/>
      <c r="F301"/>
    </row>
    <row r="302" spans="1:6" x14ac:dyDescent="0.25">
      <c r="A302" s="1">
        <v>300</v>
      </c>
      <c r="B302" s="2">
        <v>154.44999999999999</v>
      </c>
      <c r="C302" s="2">
        <v>3.1</v>
      </c>
      <c r="D302" s="2">
        <v>9.0500000000000007</v>
      </c>
      <c r="E302"/>
      <c r="F302"/>
    </row>
    <row r="303" spans="1:6" x14ac:dyDescent="0.25">
      <c r="A303" s="1">
        <v>301</v>
      </c>
      <c r="B303" s="2">
        <v>129.81</v>
      </c>
      <c r="C303" s="2">
        <v>3</v>
      </c>
      <c r="D303" s="2">
        <v>2.09</v>
      </c>
      <c r="E303"/>
      <c r="F303"/>
    </row>
    <row r="304" spans="1:6" x14ac:dyDescent="0.25">
      <c r="A304" s="1">
        <v>302</v>
      </c>
      <c r="B304" s="2">
        <v>128.77000000000001</v>
      </c>
      <c r="C304" s="2">
        <v>2.98</v>
      </c>
      <c r="D304" s="2">
        <v>3.13</v>
      </c>
      <c r="E304"/>
      <c r="F304"/>
    </row>
    <row r="305" spans="1:6" x14ac:dyDescent="0.25">
      <c r="A305" s="1">
        <v>303</v>
      </c>
      <c r="B305" s="2">
        <v>129.04</v>
      </c>
      <c r="C305" s="2">
        <v>2.85</v>
      </c>
      <c r="D305" s="2">
        <v>2.84</v>
      </c>
      <c r="E305"/>
      <c r="F305"/>
    </row>
    <row r="306" spans="1:6" x14ac:dyDescent="0.25">
      <c r="A306" s="1">
        <v>304</v>
      </c>
      <c r="B306" s="2">
        <v>129.59</v>
      </c>
      <c r="C306" s="2">
        <v>2.63</v>
      </c>
      <c r="D306" s="2">
        <v>3.17</v>
      </c>
      <c r="E306"/>
      <c r="F306"/>
    </row>
    <row r="307" spans="1:6" x14ac:dyDescent="0.25">
      <c r="A307" s="1">
        <v>305</v>
      </c>
      <c r="B307" s="2">
        <v>129.32</v>
      </c>
      <c r="C307" s="2">
        <v>2.88</v>
      </c>
      <c r="D307" s="2">
        <v>3.14</v>
      </c>
      <c r="E307"/>
      <c r="F307"/>
    </row>
    <row r="308" spans="1:6" x14ac:dyDescent="0.25">
      <c r="A308" s="1">
        <v>306</v>
      </c>
      <c r="B308" s="2">
        <v>129.49</v>
      </c>
      <c r="C308" s="2">
        <v>3.46</v>
      </c>
      <c r="D308" s="2">
        <v>3.28</v>
      </c>
      <c r="E308"/>
      <c r="F308"/>
    </row>
    <row r="309" spans="1:6" x14ac:dyDescent="0.25">
      <c r="A309" s="1">
        <v>307</v>
      </c>
      <c r="B309" s="2">
        <v>129.16</v>
      </c>
      <c r="C309" s="2">
        <v>2.61</v>
      </c>
      <c r="D309" s="2">
        <v>2.27</v>
      </c>
      <c r="E309"/>
      <c r="F309"/>
    </row>
    <row r="310" spans="1:6" x14ac:dyDescent="0.25">
      <c r="A310" s="1">
        <v>308</v>
      </c>
      <c r="B310" s="2">
        <v>129.26</v>
      </c>
      <c r="C310" s="2">
        <v>2.84</v>
      </c>
      <c r="D310" s="2">
        <v>2.12</v>
      </c>
      <c r="E310"/>
      <c r="F310"/>
    </row>
    <row r="311" spans="1:6" x14ac:dyDescent="0.25">
      <c r="A311" s="1">
        <v>309</v>
      </c>
      <c r="B311" s="2">
        <v>129.13999999999999</v>
      </c>
      <c r="C311" s="2">
        <v>3.04</v>
      </c>
      <c r="D311" s="2">
        <v>2.63</v>
      </c>
      <c r="E311"/>
      <c r="F311"/>
    </row>
    <row r="312" spans="1:6" x14ac:dyDescent="0.25">
      <c r="A312" s="1">
        <v>310</v>
      </c>
      <c r="B312" s="2">
        <v>129.21</v>
      </c>
      <c r="C312" s="2">
        <v>3.2</v>
      </c>
      <c r="D312" s="2">
        <v>2.81</v>
      </c>
      <c r="E312"/>
      <c r="F312"/>
    </row>
    <row r="313" spans="1:6" x14ac:dyDescent="0.25">
      <c r="A313" s="1">
        <v>311</v>
      </c>
      <c r="B313" s="2">
        <v>129.49</v>
      </c>
      <c r="C313" s="2">
        <v>2.92</v>
      </c>
      <c r="D313" s="2">
        <v>2.58</v>
      </c>
      <c r="E313"/>
      <c r="F313"/>
    </row>
    <row r="314" spans="1:6" x14ac:dyDescent="0.25">
      <c r="A314" s="1">
        <v>312</v>
      </c>
      <c r="B314" s="2">
        <v>128.84</v>
      </c>
      <c r="C314" s="2">
        <v>3</v>
      </c>
      <c r="D314" s="2">
        <v>3.02</v>
      </c>
      <c r="E314"/>
      <c r="F314"/>
    </row>
    <row r="315" spans="1:6" x14ac:dyDescent="0.25">
      <c r="A315" s="1">
        <v>313</v>
      </c>
      <c r="B315" s="2">
        <v>128.96</v>
      </c>
      <c r="C315" s="2">
        <v>2.59</v>
      </c>
      <c r="D315" s="2">
        <v>2.88</v>
      </c>
      <c r="E315"/>
      <c r="F315"/>
    </row>
    <row r="316" spans="1:6" x14ac:dyDescent="0.25">
      <c r="A316" s="1">
        <v>314</v>
      </c>
      <c r="B316" s="2">
        <v>128.94</v>
      </c>
      <c r="C316" s="2">
        <v>2.27</v>
      </c>
      <c r="D316" s="2">
        <v>2.44</v>
      </c>
      <c r="E316"/>
      <c r="F316"/>
    </row>
    <row r="317" spans="1:6" x14ac:dyDescent="0.25">
      <c r="A317" s="1">
        <v>315</v>
      </c>
      <c r="B317" s="2">
        <v>129.37</v>
      </c>
      <c r="C317" s="2">
        <v>2.92</v>
      </c>
      <c r="D317" s="2">
        <v>2.74</v>
      </c>
      <c r="E317"/>
      <c r="F317"/>
    </row>
    <row r="318" spans="1:6" x14ac:dyDescent="0.25">
      <c r="A318" s="1">
        <v>316</v>
      </c>
      <c r="B318" s="2">
        <v>129.13</v>
      </c>
      <c r="C318" s="2">
        <v>2.48</v>
      </c>
      <c r="D318" s="2">
        <v>2.72</v>
      </c>
      <c r="E318"/>
      <c r="F318"/>
    </row>
    <row r="319" spans="1:6" x14ac:dyDescent="0.25">
      <c r="A319" s="1">
        <v>317</v>
      </c>
      <c r="B319" s="2">
        <v>129.22</v>
      </c>
      <c r="C319" s="2">
        <v>2.2999999999999998</v>
      </c>
      <c r="D319" s="2">
        <v>2.86</v>
      </c>
      <c r="E319"/>
      <c r="F319"/>
    </row>
    <row r="320" spans="1:6" x14ac:dyDescent="0.25">
      <c r="A320" s="1">
        <v>318</v>
      </c>
      <c r="B320" s="2">
        <v>128.62</v>
      </c>
      <c r="C320" s="2">
        <v>3.07</v>
      </c>
      <c r="D320" s="2">
        <v>2.2200000000000002</v>
      </c>
      <c r="E320"/>
      <c r="F320"/>
    </row>
    <row r="321" spans="1:6" x14ac:dyDescent="0.25">
      <c r="A321" s="1">
        <v>319</v>
      </c>
      <c r="B321" s="2">
        <v>129.26</v>
      </c>
      <c r="C321" s="2">
        <v>2.44</v>
      </c>
      <c r="D321" s="2">
        <v>2.4</v>
      </c>
      <c r="E321"/>
      <c r="F321"/>
    </row>
    <row r="322" spans="1:6" x14ac:dyDescent="0.25">
      <c r="A322" s="1">
        <v>320</v>
      </c>
      <c r="B322" s="2">
        <v>128.83000000000001</v>
      </c>
      <c r="C322" s="2">
        <v>3.04</v>
      </c>
      <c r="D322" s="2">
        <v>2.06</v>
      </c>
      <c r="E322"/>
      <c r="F322"/>
    </row>
    <row r="323" spans="1:6" x14ac:dyDescent="0.25">
      <c r="A323" s="1">
        <v>321</v>
      </c>
      <c r="B323" s="2">
        <v>129.37</v>
      </c>
      <c r="C323" s="2">
        <v>2.95</v>
      </c>
      <c r="D323" s="2">
        <v>3</v>
      </c>
      <c r="E323"/>
      <c r="F323"/>
    </row>
    <row r="324" spans="1:6" x14ac:dyDescent="0.25">
      <c r="A324" s="1">
        <v>322</v>
      </c>
      <c r="B324" s="2">
        <v>129.13999999999999</v>
      </c>
      <c r="C324" s="2">
        <v>2.85</v>
      </c>
      <c r="D324" s="2">
        <v>2.59</v>
      </c>
      <c r="E324"/>
      <c r="F324"/>
    </row>
    <row r="325" spans="1:6" x14ac:dyDescent="0.25">
      <c r="A325" s="1">
        <v>323</v>
      </c>
      <c r="B325" s="2">
        <v>129.75</v>
      </c>
      <c r="C325" s="2">
        <v>2.1800000000000002</v>
      </c>
      <c r="D325" s="2">
        <v>3.4</v>
      </c>
      <c r="E325"/>
      <c r="F325"/>
    </row>
    <row r="326" spans="1:6" x14ac:dyDescent="0.25">
      <c r="A326" s="1">
        <v>324</v>
      </c>
      <c r="B326" s="2">
        <v>129.11000000000001</v>
      </c>
      <c r="C326" s="2">
        <v>3.04</v>
      </c>
      <c r="D326" s="2">
        <v>3.14</v>
      </c>
      <c r="E326"/>
      <c r="F326"/>
    </row>
    <row r="327" spans="1:6" x14ac:dyDescent="0.25">
      <c r="A327" s="1">
        <v>325</v>
      </c>
      <c r="B327" s="2">
        <v>128.49</v>
      </c>
      <c r="C327" s="2">
        <v>2.86</v>
      </c>
      <c r="D327" s="2">
        <v>3.19</v>
      </c>
      <c r="E327"/>
      <c r="F327"/>
    </row>
  </sheetData>
  <mergeCells count="1">
    <mergeCell ref="B1:D1"/>
  </mergeCells>
  <phoneticPr fontId="10"/>
  <dataValidations count="1">
    <dataValidation type="list" allowBlank="1" showInputMessage="1" showErrorMessage="1" sqref="B1:D1">
      <formula1>"MBM-1000,MBM-2000,MBM-3000"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Macro</vt:lpstr>
      <vt:lpstr>Trend</vt:lpstr>
      <vt:lpstr>Data</vt:lpstr>
      <vt:lpstr>summary_for_customer</vt:lpstr>
      <vt:lpstr>raw_data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大西 孝幸</dc:creator>
  <cp:lastModifiedBy>ohnishi.takayuki</cp:lastModifiedBy>
  <dcterms:created xsi:type="dcterms:W3CDTF">2012-06-26T06:31:39Z</dcterms:created>
  <dcterms:modified xsi:type="dcterms:W3CDTF">2024-06-06T09:29:20Z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_SA">
    <vt:lpwstr>\\fs.nuflare.co.jp\SHARE\EBM\Tool\#211(E510074)\社内立上\6.DrawData\ASUNARO\190422601(SI#1)\CD\#211 9k9.5k-Anyangle(NoADJ)_Z7_190422601.xlsx</vt:lpwstr>
  </property>
</Properties>
</file>